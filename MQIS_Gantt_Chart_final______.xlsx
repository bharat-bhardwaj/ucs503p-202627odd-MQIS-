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rojectSchedule" sheetId="1" r:id="rId5"/>
    <sheet name="About" sheetId="2" r:id="rId6"/>
  </sheets>
</workbook>
</file>

<file path=xl/comments1.xml><?xml version="1.0" encoding="utf-8"?>
<comments xmlns="http://schemas.openxmlformats.org/spreadsheetml/2006/main">
  <authors>
    <author>Vertex42.com Templates</author>
  </authors>
  <commentList>
    <comment ref="H6" authorId="0">
      <text>
        <r>
          <rPr>
            <sz val="11"/>
            <color indexed="8"/>
            <rFont val="Helvetica Neue"/>
          </rPr>
          <t>Vertex42.com Templates:
DAYS:
This column calculates the duration of the task in calendar days. The duration includes both the Start and End dates.</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<sst xmlns="http://schemas.openxmlformats.org/spreadsheetml/2006/main" uniqueCount="89">
  <si>
    <t>MQIS – 15-Week Project Schedule</t>
  </si>
  <si>
    <r>
      <rPr>
        <u val="single"/>
        <sz val="9"/>
        <color indexed="15"/>
        <rFont val="Arial"/>
      </rPr>
      <t>► Watch How to Make a Gantt Chart in Excel</t>
    </r>
  </si>
  <si>
    <t>Thapar Institute of Engineering and Technology</t>
  </si>
  <si>
    <t>Project Start:</t>
  </si>
  <si>
    <t>Bharat Bhardwaj (Project Lead)</t>
  </si>
  <si>
    <t>Today:</t>
  </si>
  <si>
    <t>Display Week:</t>
  </si>
  <si>
    <t>Week 1  |  03 Aug – 09 Aug</t>
  </si>
  <si>
    <t>Week 2  |  10 Aug – 16 Aug</t>
  </si>
  <si>
    <t>Week 3  |  17 Aug – 23 Aug</t>
  </si>
  <si>
    <t>Week 4  |  24 Aug – 30 Aug</t>
  </si>
  <si>
    <t>Week 5  |  31 Aug – 06 Sep</t>
  </si>
  <si>
    <t>Week 6  |  07 Sep – 13 Sep</t>
  </si>
  <si>
    <t>TASK</t>
  </si>
  <si>
    <t>ASSIGNED
TO</t>
  </si>
  <si>
    <t>PROGRESS</t>
  </si>
  <si>
    <t>START</t>
  </si>
  <si>
    <t>END</t>
  </si>
  <si>
    <t>DAYS</t>
  </si>
  <si>
    <t>M</t>
  </si>
  <si>
    <t>T</t>
  </si>
  <si>
    <t>W</t>
  </si>
  <si>
    <t>F</t>
  </si>
  <si>
    <t>S</t>
  </si>
  <si>
    <t>Bharat Bhardwaj – Detection &amp; Integration</t>
  </si>
  <si>
    <t>Week 1: Literature/tooling survey; finalize dataset</t>
  </si>
  <si>
    <t>Bharat Bhardwaj</t>
  </si>
  <si>
    <t>Week 2: Set up reference-image comparison pipeline</t>
  </si>
  <si>
    <t>Week 3: Implement grayscale diff + thresholding</t>
  </si>
  <si>
    <t>Week 4: Add contour extraction + bounding box</t>
  </si>
  <si>
    <t>Week 5: Implement defect classification mapping</t>
  </si>
  <si>
    <t>Week 6: Milestone 1: Working detection on sample dataset</t>
  </si>
  <si>
    <t>Week 7: Tune thresholds; reduce false positives</t>
  </si>
  <si>
    <t>Week 8: Add severity/confidence scoring</t>
  </si>
  <si>
    <t>Week 9: Visual annotation (bounding box + label overlay)</t>
  </si>
  <si>
    <t>Week 10: Integration testing with live dashboard</t>
  </si>
  <si>
    <t>Week 11: Milestone 2: Full inspection view working</t>
  </si>
  <si>
    <t>Week 12: End-to-end integration (all modules combined)</t>
  </si>
  <si>
    <t>Week 13: System testing: run ≥50 inspections, log accuracy</t>
  </si>
  <si>
    <t>Week 14: Bug fixing; buffer week for unresolved issues</t>
  </si>
  <si>
    <t>Week 15: Final demo prep, documentation, presentation</t>
  </si>
  <si>
    <t>Rishit – Data &amp; Analytics</t>
  </si>
  <si>
    <t>Week 1: Define DB schema for event logging</t>
  </si>
  <si>
    <t>Rishit</t>
  </si>
  <si>
    <t>Week 2: Implement database.py (init, log, query)</t>
  </si>
  <si>
    <t>Week 3: Test DB read/write with dummy data</t>
  </si>
  <si>
    <t>Week 4: Build minimal Streamlit shell (app.py skeleton)</t>
  </si>
  <si>
    <t>Week 5: Wire detection output into DB logging</t>
  </si>
  <si>
    <t>Week 6: Milestone 1: Logging pipeline integrated</t>
  </si>
  <si>
    <t>Week 7: Build analytics.py: rejection rate, by-line summary</t>
  </si>
  <si>
    <t>Week 8: Add by-type and by-hour breakdowns</t>
  </si>
  <si>
    <t>Week 9: Add line-status flags (Normal/Warning/Critical)</t>
  </si>
  <si>
    <t>Week 10: Live stats panel in Streamlit (metrics, bar chart)</t>
  </si>
  <si>
    <t>Week 11: Milestone 2: Full analytics panel working</t>
  </si>
  <si>
    <t>Week 13: Validate analytics against manual ground truth</t>
  </si>
  <si>
    <t>Asmita – RAG &amp; Reporting</t>
  </si>
  <si>
    <t>Week 1: Survey RAG stack (Chroma, embeddings, Ollama)</t>
  </si>
  <si>
    <t>Asmita</t>
  </si>
  <si>
    <t>Week 2: Set up local Llama 3.2 via Ollama; test basic chat call</t>
  </si>
  <si>
    <r>
      <rPr>
        <sz val="11"/>
        <color indexed="8"/>
        <rFont val="Calibri"/>
      </rPr>
      <t>Week 3: Draft initial factory knowledge base (.txt notes)</t>
    </r>
  </si>
  <si>
    <r>
      <rPr>
        <sz val="11"/>
        <color indexed="8"/>
        <rFont val="Calibri"/>
      </rPr>
      <t>Week 4: Implement embedding pipeline for knowledge base</t>
    </r>
  </si>
  <si>
    <t>Week 5: Implement Chroma collection build/query</t>
  </si>
  <si>
    <t>Week 6: Milestone 1: Retrieval returns relevant chunks</t>
  </si>
  <si>
    <t>Week 7: Draft prompt template for shift report generation</t>
  </si>
  <si>
    <t>Week 8: Implement generate_report() end-to-end</t>
  </si>
  <si>
    <t>Week 9: Implement answer_question() for free-text queries</t>
  </si>
  <si>
    <t>Week 10: Integrate AI assistant panel into dashboard UI</t>
  </si>
  <si>
    <t>Week 11: Milestone 2: Full RAG panel working</t>
  </si>
  <si>
    <t>Week 13: Evaluate report quality/latency against target</t>
  </si>
  <si>
    <t>Legend:</t>
  </si>
  <si>
    <t>Completed</t>
  </si>
  <si>
    <t>Planned</t>
  </si>
  <si>
    <t>Today</t>
  </si>
  <si>
    <r>
      <rPr>
        <sz val="11"/>
        <color indexed="8"/>
        <rFont val="Calibri"/>
      </rPr>
      <t>SIMPLE GANTT CHART by Vertex42.com</t>
    </r>
  </si>
  <si>
    <t>© 2018-2019 Vertex42 LLC</t>
  </si>
  <si>
    <r>
      <rPr>
        <b val="1"/>
        <sz val="12"/>
        <color indexed="10"/>
        <rFont val="Calibri"/>
      </rPr>
      <t>MQIS Gantt Chart populated using the Contract Playbook template design.</t>
    </r>
  </si>
  <si>
    <r>
      <rPr>
        <sz val="11"/>
        <color indexed="14"/>
        <rFont val="Calibri"/>
      </rPr>
      <t>Visible project timeline: 03-Aug-2026 through 13-Sep-2026.</t>
    </r>
  </si>
  <si>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</si>
  <si>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</si>
  <si>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</si>
  <si>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</si>
  <si>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r>
      <rPr>
        <u val="single"/>
        <sz val="11"/>
        <color indexed="15"/>
        <rFont val="Arial"/>
      </rPr>
      <t>How to Use the Simple Gantt Chart</t>
    </r>
  </si>
  <si>
    <r>
      <rPr>
        <u val="single"/>
        <sz val="11"/>
        <color indexed="15"/>
        <rFont val="Arial"/>
      </rPr>
      <t>► Watch How This Gantt Chart Was Created</t>
    </r>
  </si>
  <si>
    <t>More Project Management Templates</t>
  </si>
  <si>
    <t>Visit Vertex42.com to download other project management templates, including different types of project schedules, Gantt charts, tasks lists, etc.</t>
  </si>
  <si>
    <r>
      <rPr>
        <u val="single"/>
        <sz val="11"/>
        <color indexed="15"/>
        <rFont val="Arial"/>
      </rPr>
      <t>Project Management Templates</t>
    </r>
  </si>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</sst>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numFmts count="5">
    <numFmt numFmtId="0" formatCode="General"/>
    <numFmt numFmtId="59" formatCode="ddd&quot;, &quot;m/d/yyyy"/>
    <numFmt numFmtId="60" formatCode="mmm&quot; &quot;d&quot;, &quot;yyyy"/>
    <numFmt numFmtId="61" formatCode="d"/>
    <numFmt numFmtId="62" formatCode="dd-mmm-yy"/>
  </numFmts>
  <fonts count="23">
    <font>
      <sz val="11"/>
      <color indexed="8"/>
      <name val="Calibri"/>
    </font>
    <font>
      <sz val="12"/>
      <color indexed="8"/>
      <name val="Helvetica Neue"/>
    </font>
    <font>
      <sz val="15"/>
      <color indexed="8"/>
      <name val="Calibri"/>
    </font>
    <font>
      <b val="1"/>
      <sz val="22"/>
      <color indexed="10"/>
      <name val="Calibri"/>
    </font>
    <font>
      <b val="1"/>
      <sz val="20"/>
      <color indexed="11"/>
      <name val="Calibri"/>
    </font>
    <font>
      <sz val="10"/>
      <color indexed="8"/>
      <name val="Calibri"/>
    </font>
    <font>
      <sz val="10"/>
      <color indexed="14"/>
      <name val="Calibri"/>
    </font>
    <font>
      <sz val="9"/>
      <color indexed="11"/>
      <name val="Arial"/>
    </font>
    <font>
      <u val="single"/>
      <sz val="9"/>
      <color indexed="15"/>
      <name val="Arial"/>
    </font>
    <font>
      <sz val="14"/>
      <color indexed="8"/>
      <name val="Calibri"/>
    </font>
    <font>
      <sz val="9"/>
      <color indexed="8"/>
      <name val="Calibri"/>
    </font>
    <font>
      <sz val="16"/>
      <color indexed="8"/>
      <name val="Calibri"/>
    </font>
    <font>
      <b val="1"/>
      <sz val="9"/>
      <color indexed="12"/>
      <name val="Calibri"/>
    </font>
    <font>
      <sz val="11"/>
      <color indexed="8"/>
      <name val="Helvetica Neue"/>
    </font>
    <font>
      <sz val="8"/>
      <color indexed="12"/>
      <name val="Calibri"/>
    </font>
    <font>
      <b val="1"/>
      <sz val="11"/>
      <color indexed="8"/>
      <name val="Calibri"/>
    </font>
    <font>
      <b val="1"/>
      <sz val="12"/>
      <color indexed="10"/>
      <name val="Calibri"/>
    </font>
    <font>
      <sz val="11"/>
      <color indexed="14"/>
      <name val="Calibri"/>
    </font>
    <font>
      <sz val="10"/>
      <color indexed="10"/>
      <name val="Calibri"/>
    </font>
    <font>
      <b val="1"/>
      <sz val="16"/>
      <color indexed="11"/>
      <name val="Calibri"/>
    </font>
    <font>
      <sz val="11"/>
      <color indexed="32"/>
      <name val="Calibri"/>
    </font>
    <font>
      <sz val="11"/>
      <color indexed="8"/>
      <name val="Arial"/>
    </font>
    <font>
      <u val="single"/>
      <sz val="11"/>
      <color indexed="15"/>
      <name val="Arial"/>
    </font>
  </fonts>
  <fills count="19">
    <fill>
      <patternFill patternType="none"/>
    </fill>
    <fill>
      <patternFill patternType="gray125"/>
    </fill>
    <fill>
      <patternFill patternType="solid">
        <fgColor indexed="12"/>
        <bgColor auto="1"/>
      </patternFill>
    </fill>
    <fill>
      <patternFill patternType="solid">
        <fgColor indexed="16"/>
        <bgColor auto="1"/>
      </patternFill>
    </fill>
    <fill>
      <patternFill patternType="solid">
        <fgColor indexed="10"/>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s>
  <borders count="43">
    <border>
      <left/>
      <right/>
      <top/>
      <bottom/>
      <diagonal/>
    </border>
    <border>
      <left style="thin">
        <color indexed="9"/>
      </left>
      <right/>
      <top style="thin">
        <color indexed="9"/>
      </top>
      <bottom/>
      <diagonal/>
    </border>
    <border>
      <left/>
      <right/>
      <top style="thin">
        <color indexed="9"/>
      </top>
      <bottom/>
      <diagonal/>
    </border>
    <border>
      <left/>
      <right/>
      <top style="thin">
        <color indexed="9"/>
      </top>
      <bottom style="thin">
        <color indexed="13"/>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13"/>
      </right>
      <top/>
      <bottom/>
      <diagonal/>
    </border>
    <border>
      <left style="thin">
        <color indexed="13"/>
      </left>
      <right style="thin">
        <color indexed="13"/>
      </right>
      <top style="thin">
        <color indexed="13"/>
      </top>
      <bottom style="thin">
        <color indexed="13"/>
      </bottom>
      <diagonal/>
    </border>
    <border>
      <left style="thin">
        <color indexed="13"/>
      </left>
      <right/>
      <top/>
      <bottom/>
      <diagonal/>
    </border>
    <border>
      <left/>
      <right style="thin">
        <color indexed="9"/>
      </right>
      <top/>
      <bottom/>
      <diagonal/>
    </border>
    <border>
      <left/>
      <right/>
      <top/>
      <bottom style="thin">
        <color indexed="13"/>
      </bottom>
      <diagonal/>
    </border>
    <border>
      <left/>
      <right style="thin">
        <color indexed="9"/>
      </right>
      <top/>
      <bottom style="thin">
        <color indexed="13"/>
      </bottom>
      <diagonal/>
    </border>
    <border>
      <left style="thin">
        <color indexed="13"/>
      </left>
      <right/>
      <top style="thin">
        <color indexed="13"/>
      </top>
      <bottom/>
      <diagonal/>
    </border>
    <border>
      <left style="thin">
        <color indexed="13"/>
      </left>
      <right style="thin">
        <color indexed="13"/>
      </right>
      <top/>
      <bottom/>
      <diagonal/>
    </border>
    <border>
      <left style="thin">
        <color indexed="13"/>
      </left>
      <right style="thin">
        <color indexed="13"/>
      </right>
      <top style="thin">
        <color indexed="13"/>
      </top>
      <bottom/>
      <diagonal/>
    </border>
    <border>
      <left/>
      <right/>
      <top style="thin">
        <color indexed="13"/>
      </top>
      <bottom/>
      <diagonal/>
    </border>
    <border>
      <left/>
      <right style="thin">
        <color indexed="13"/>
      </right>
      <top style="thin">
        <color indexed="13"/>
      </top>
      <bottom/>
      <diagonal/>
    </border>
    <border>
      <left/>
      <right style="thin">
        <color indexed="13"/>
      </right>
      <top style="thin">
        <color indexed="13"/>
      </top>
      <bottom style="thin">
        <color indexed="17"/>
      </bottom>
      <diagonal/>
    </border>
    <border>
      <left/>
      <right/>
      <top style="thin">
        <color indexed="13"/>
      </top>
      <bottom style="thin">
        <color indexed="13"/>
      </bottom>
      <diagonal/>
    </border>
    <border>
      <left/>
      <right style="thin">
        <color indexed="13"/>
      </right>
      <top/>
      <bottom style="thin">
        <color indexed="13"/>
      </bottom>
      <diagonal/>
    </border>
    <border>
      <left style="thin">
        <color indexed="13"/>
      </left>
      <right style="thin">
        <color indexed="13"/>
      </right>
      <top/>
      <bottom style="thin">
        <color indexed="13"/>
      </bottom>
      <diagonal/>
    </border>
    <border>
      <left/>
      <right style="thin">
        <color indexed="17"/>
      </right>
      <top/>
      <bottom/>
      <diagonal/>
    </border>
    <border>
      <left style="thin">
        <color indexed="17"/>
      </left>
      <right style="thin">
        <color indexed="13"/>
      </right>
      <top style="thin">
        <color indexed="17"/>
      </top>
      <bottom style="thin">
        <color indexed="17"/>
      </bottom>
      <diagonal/>
    </border>
    <border>
      <left/>
      <right/>
      <top style="thin">
        <color indexed="13"/>
      </top>
      <bottom style="medium">
        <color indexed="16"/>
      </bottom>
      <diagonal/>
    </border>
    <border>
      <left/>
      <right style="thin">
        <color indexed="13"/>
      </right>
      <top style="thin">
        <color indexed="13"/>
      </top>
      <bottom style="medium">
        <color indexed="16"/>
      </bottom>
      <diagonal/>
    </border>
    <border>
      <left style="thin">
        <color indexed="13"/>
      </left>
      <right style="thin">
        <color indexed="13"/>
      </right>
      <top style="thin">
        <color indexed="13"/>
      </top>
      <bottom style="medium">
        <color indexed="16"/>
      </bottom>
      <diagonal/>
    </border>
    <border>
      <left style="thin">
        <color indexed="13"/>
      </left>
      <right style="thin">
        <color indexed="13"/>
      </right>
      <top/>
      <bottom style="medium">
        <color indexed="16"/>
      </bottom>
      <diagonal/>
    </border>
    <border>
      <left style="thin">
        <color indexed="13"/>
      </left>
      <right style="thin">
        <color indexed="17"/>
      </right>
      <top/>
      <bottom style="medium">
        <color indexed="16"/>
      </bottom>
      <diagonal/>
    </border>
    <border>
      <left/>
      <right/>
      <top style="medium">
        <color indexed="16"/>
      </top>
      <bottom style="medium">
        <color indexed="16"/>
      </bottom>
      <diagonal/>
    </border>
    <border>
      <left/>
      <right style="thin">
        <color indexed="16"/>
      </right>
      <top style="medium">
        <color indexed="16"/>
      </top>
      <bottom style="medium">
        <color indexed="16"/>
      </bottom>
      <diagonal/>
    </border>
    <border>
      <left style="thin">
        <color indexed="16"/>
      </left>
      <right style="thin">
        <color indexed="16"/>
      </right>
      <top style="medium">
        <color indexed="16"/>
      </top>
      <bottom style="medium">
        <color indexed="16"/>
      </bottom>
      <diagonal/>
    </border>
    <border>
      <left style="thin">
        <color indexed="16"/>
      </left>
      <right style="thin">
        <color indexed="17"/>
      </right>
      <top style="medium">
        <color indexed="16"/>
      </top>
      <bottom style="medium">
        <color indexed="16"/>
      </bottom>
      <diagonal/>
    </border>
    <border>
      <left style="thin">
        <color indexed="17"/>
      </left>
      <right style="thin">
        <color indexed="16"/>
      </right>
      <top style="thin">
        <color indexed="17"/>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top style="medium">
        <color indexed="16"/>
      </top>
      <bottom/>
      <diagonal/>
    </border>
    <border>
      <left/>
      <right/>
      <top style="medium">
        <color indexed="16"/>
      </top>
      <bottom/>
      <diagonal/>
    </border>
    <border>
      <left/>
      <right style="thin">
        <color indexed="9"/>
      </right>
      <top style="medium">
        <color indexed="16"/>
      </top>
      <bottom/>
      <diagonal/>
    </border>
    <border>
      <left style="thin">
        <color indexed="17"/>
      </left>
      <right/>
      <top/>
      <bottom/>
      <diagonal/>
    </border>
    <border>
      <left style="thin">
        <color indexed="17"/>
      </left>
      <right style="thin">
        <color indexed="17"/>
      </right>
      <top style="thin">
        <color indexed="17"/>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17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borderId="2" applyNumberFormat="1" applyFont="1" applyFill="0" applyBorder="1" applyAlignment="1" applyProtection="0">
      <alignment horizontal="left" vertical="bottom"/>
    </xf>
    <xf numFmtId="0" fontId="4" borderId="2" applyNumberFormat="0" applyFont="1" applyFill="0" applyBorder="1" applyAlignment="1" applyProtection="0">
      <alignment horizontal="left" vertical="bottom"/>
    </xf>
    <xf numFmtId="0" fontId="5" borderId="2" applyNumberFormat="0" applyFont="1" applyFill="0" applyBorder="1" applyAlignment="1" applyProtection="0">
      <alignment vertical="bottom"/>
    </xf>
    <xf numFmtId="0" fontId="5" fillId="2" borderId="3" applyNumberFormat="0" applyFont="1" applyFill="1" applyBorder="1" applyAlignment="1" applyProtection="0">
      <alignment horizontal="center" vertical="bottom"/>
    </xf>
    <xf numFmtId="0" fontId="5" fillId="2" borderId="3" applyNumberFormat="0" applyFont="1" applyFill="1" applyBorder="1" applyAlignment="1" applyProtection="0">
      <alignment horizontal="right" vertical="center"/>
    </xf>
    <xf numFmtId="0" fontId="0" borderId="2" applyNumberFormat="0" applyFont="1" applyFill="0" applyBorder="1" applyAlignment="1" applyProtection="0">
      <alignment vertical="bottom"/>
    </xf>
    <xf numFmtId="0" fontId="6" fillId="2" borderId="2" applyNumberFormat="0" applyFont="1" applyFill="1" applyBorder="1" applyAlignment="1" applyProtection="0">
      <alignment vertical="center"/>
    </xf>
    <xf numFmtId="0" fontId="7" fillId="2" borderId="2" applyNumberFormat="0" applyFont="1" applyFill="1" applyBorder="1" applyAlignment="1" applyProtection="0">
      <alignment horizontal="left" vertical="center"/>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9" borderId="6" applyNumberFormat="1" applyFont="1" applyFill="0" applyBorder="1" applyAlignment="1" applyProtection="0">
      <alignment vertical="bottom"/>
    </xf>
    <xf numFmtId="0" fontId="0" borderId="6" applyNumberFormat="0" applyFont="1" applyFill="0" applyBorder="1" applyAlignment="1" applyProtection="0">
      <alignment vertical="bottom"/>
    </xf>
    <xf numFmtId="49" fontId="0" fillId="2" borderId="7" applyNumberFormat="1" applyFont="1" applyFill="1" applyBorder="1" applyAlignment="1" applyProtection="0">
      <alignment horizontal="right" vertical="center"/>
    </xf>
    <xf numFmtId="59" fontId="0" fillId="2" borderId="8" applyNumberFormat="1" applyFont="1" applyFill="1" applyBorder="1" applyAlignment="1" applyProtection="0">
      <alignment vertical="center"/>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fillId="2" borderId="8" applyNumberFormat="1" applyFont="1" applyFill="1" applyBorder="1" applyAlignment="1" applyProtection="0">
      <alignment vertical="center"/>
    </xf>
    <xf numFmtId="0" fontId="0" borderId="13"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0" fillId="3" borderId="15" applyNumberFormat="1" applyFont="1" applyFill="1" applyBorder="1" applyAlignment="1" applyProtection="0">
      <alignment horizontal="left" vertical="center" wrapText="1"/>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60" fontId="0" fillId="3" borderId="15" applyNumberFormat="1" applyFont="1" applyFill="1" applyBorder="1" applyAlignment="1" applyProtection="0">
      <alignment horizontal="left" vertical="center" wrapText="1"/>
    </xf>
    <xf numFmtId="0" fontId="0" fillId="2" borderId="5" applyNumberFormat="0" applyFont="1" applyFill="1" applyBorder="1" applyAlignment="1" applyProtection="0">
      <alignment horizontal="right" vertical="center"/>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horizontal="right" vertical="center"/>
    </xf>
    <xf numFmtId="0" fontId="0" borderId="21" applyNumberFormat="0" applyFont="1" applyFill="0" applyBorder="1" applyAlignment="1" applyProtection="0">
      <alignment vertical="bottom"/>
    </xf>
    <xf numFmtId="16" fontId="10" fillId="3" borderId="9" applyNumberFormat="1" applyFont="1" applyFill="1" applyBorder="1" applyAlignment="1" applyProtection="0">
      <alignment horizontal="center" vertical="center"/>
    </xf>
    <xf numFmtId="16" fontId="10" fillId="3" borderId="6" applyNumberFormat="1" applyFont="1" applyFill="1" applyBorder="1" applyAlignment="1" applyProtection="0">
      <alignment horizontal="center" vertical="center"/>
    </xf>
    <xf numFmtId="16" fontId="10" fillId="3" borderId="7" applyNumberFormat="1" applyFont="1" applyFill="1" applyBorder="1" applyAlignment="1" applyProtection="0">
      <alignment horizontal="center" vertical="center"/>
    </xf>
    <xf numFmtId="16" fontId="10" fillId="3" borderId="22" applyNumberFormat="1" applyFont="1" applyFill="1" applyBorder="1" applyAlignment="1" applyProtection="0">
      <alignment horizontal="center" vertical="center"/>
    </xf>
    <xf numFmtId="16" fontId="10" fillId="3" borderId="23" applyNumberFormat="1" applyFont="1" applyFill="1" applyBorder="1" applyAlignment="1" applyProtection="0">
      <alignment horizontal="center" vertical="center"/>
    </xf>
    <xf numFmtId="61" fontId="10" fillId="3" borderId="9" applyNumberFormat="1" applyFont="1" applyFill="1" applyBorder="1" applyAlignment="1" applyProtection="0">
      <alignment horizontal="center" vertical="center"/>
    </xf>
    <xf numFmtId="61" fontId="10" fillId="3" borderId="6" applyNumberFormat="1" applyFont="1" applyFill="1" applyBorder="1" applyAlignment="1" applyProtection="0">
      <alignment horizontal="center" vertical="center"/>
    </xf>
    <xf numFmtId="61" fontId="10" fillId="3" borderId="7" applyNumberFormat="1" applyFont="1" applyFill="1" applyBorder="1" applyAlignment="1" applyProtection="0">
      <alignment horizontal="center" vertical="center"/>
    </xf>
    <xf numFmtId="0" fontId="11" fillId="2" borderId="5" applyNumberFormat="0" applyFont="1" applyFill="1" applyBorder="1" applyAlignment="1" applyProtection="0">
      <alignment horizontal="right" vertical="center"/>
    </xf>
    <xf numFmtId="49" fontId="12" fillId="4" borderId="24" applyNumberFormat="1" applyFont="1" applyFill="1" applyBorder="1" applyAlignment="1" applyProtection="0">
      <alignment horizontal="left" vertical="center"/>
    </xf>
    <xf numFmtId="49" fontId="12" fillId="4" borderId="24" applyNumberFormat="1" applyFont="1" applyFill="1" applyBorder="1" applyAlignment="1" applyProtection="0">
      <alignment horizontal="center" vertical="center" wrapText="1"/>
    </xf>
    <xf numFmtId="0" fontId="12" fillId="4" borderId="25" applyNumberFormat="0" applyFont="1" applyFill="1" applyBorder="1" applyAlignment="1" applyProtection="0">
      <alignment horizontal="center" vertical="center" wrapText="1"/>
    </xf>
    <xf numFmtId="49" fontId="12" fillId="4" borderId="26" applyNumberFormat="1" applyFont="1" applyFill="1" applyBorder="1" applyAlignment="1" applyProtection="0">
      <alignment horizontal="center" vertical="center" wrapText="1"/>
    </xf>
    <xf numFmtId="49" fontId="14" fillId="4" borderId="27" applyNumberFormat="1" applyFont="1" applyFill="1" applyBorder="1" applyAlignment="1" applyProtection="0">
      <alignment horizontal="center" vertical="center"/>
    </xf>
    <xf numFmtId="49" fontId="14" fillId="4" borderId="28" applyNumberFormat="1" applyFont="1" applyFill="1" applyBorder="1" applyAlignment="1" applyProtection="0">
      <alignment horizontal="center" vertical="center"/>
    </xf>
    <xf numFmtId="49" fontId="14" fillId="4" borderId="23" applyNumberFormat="1" applyFont="1" applyFill="1" applyBorder="1" applyAlignment="1" applyProtection="0">
      <alignment horizontal="center" vertical="center"/>
    </xf>
    <xf numFmtId="0" fontId="14" fillId="4" borderId="27" applyNumberFormat="1" applyFont="1" applyFill="1" applyBorder="1" applyAlignment="1" applyProtection="0">
      <alignment horizontal="center" vertical="center"/>
    </xf>
    <xf numFmtId="0" fontId="11" borderId="5" applyNumberFormat="0" applyFont="1" applyFill="0" applyBorder="1" applyAlignment="1" applyProtection="0">
      <alignment horizontal="right" vertical="bottom"/>
    </xf>
    <xf numFmtId="0" fontId="0" borderId="29" applyNumberFormat="0" applyFont="1" applyFill="0" applyBorder="1" applyAlignment="1" applyProtection="0">
      <alignment horizontal="left" vertical="bottom"/>
    </xf>
    <xf numFmtId="0" fontId="0" borderId="29" applyNumberFormat="0" applyFont="1" applyFill="0" applyBorder="1" applyAlignment="1" applyProtection="0">
      <alignment horizontal="center" vertical="bottom"/>
    </xf>
    <xf numFmtId="9" fontId="0" borderId="29" applyNumberFormat="1" applyFont="1" applyFill="0" applyBorder="1" applyAlignment="1" applyProtection="0">
      <alignment horizontal="center" vertical="bottom"/>
    </xf>
    <xf numFmtId="14" fontId="0" fillId="2" borderId="29" applyNumberFormat="1" applyFont="1" applyFill="1" applyBorder="1" applyAlignment="1" applyProtection="0">
      <alignment horizontal="center" vertical="bottom"/>
    </xf>
    <xf numFmtId="14" fontId="0" borderId="29" applyNumberFormat="1" applyFont="1" applyFill="0" applyBorder="1" applyAlignment="1" applyProtection="0">
      <alignment horizontal="center" vertical="bottom"/>
    </xf>
    <xf numFmtId="0" fontId="0" borderId="30" applyNumberFormat="0" applyFont="1" applyFill="0" applyBorder="1" applyAlignment="1" applyProtection="0">
      <alignment horizontal="center" vertical="bottom"/>
    </xf>
    <xf numFmtId="0" fontId="0" borderId="31" applyNumberFormat="0" applyFont="1" applyFill="0" applyBorder="1" applyAlignment="1" applyProtection="0">
      <alignment horizontal="center"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0" borderId="33" applyNumberFormat="0" applyFont="1" applyFill="0" applyBorder="1" applyAlignment="1" applyProtection="0">
      <alignment vertical="bottom"/>
    </xf>
    <xf numFmtId="49" fontId="15" fillId="5" borderId="29" applyNumberFormat="1" applyFont="1" applyFill="1" applyBorder="1" applyAlignment="1" applyProtection="0">
      <alignment horizontal="left" vertical="center"/>
    </xf>
    <xf numFmtId="0" fontId="15" fillId="5" borderId="29" applyNumberFormat="0" applyFont="1" applyFill="1" applyBorder="1" applyAlignment="1" applyProtection="0">
      <alignment horizontal="center" vertical="center"/>
    </xf>
    <xf numFmtId="9" fontId="0" fillId="5" borderId="29" applyNumberFormat="1" applyFont="1" applyFill="1" applyBorder="1" applyAlignment="1" applyProtection="0">
      <alignment horizontal="center" vertical="center"/>
    </xf>
    <xf numFmtId="62" fontId="0" fillId="5" borderId="29" applyNumberFormat="1" applyFont="1" applyFill="1" applyBorder="1" applyAlignment="1" applyProtection="0">
      <alignment horizontal="center" vertical="center"/>
    </xf>
    <xf numFmtId="49" fontId="0" fillId="6" borderId="29" applyNumberFormat="1" applyFont="1" applyFill="1" applyBorder="1" applyAlignment="1" applyProtection="0">
      <alignment horizontal="left" vertical="center"/>
    </xf>
    <xf numFmtId="49" fontId="0" fillId="6" borderId="29" applyNumberFormat="1" applyFont="1" applyFill="1" applyBorder="1" applyAlignment="1" applyProtection="0">
      <alignment horizontal="center" vertical="center"/>
    </xf>
    <xf numFmtId="9" fontId="0" fillId="6" borderId="29" applyNumberFormat="1" applyFont="1" applyFill="1" applyBorder="1" applyAlignment="1" applyProtection="0">
      <alignment horizontal="center" vertical="center"/>
    </xf>
    <xf numFmtId="62" fontId="0" fillId="6" borderId="29" applyNumberFormat="1" applyFont="1" applyFill="1" applyBorder="1" applyAlignment="1" applyProtection="0">
      <alignment horizontal="center" vertical="center"/>
    </xf>
    <xf numFmtId="0" fontId="0" borderId="31" applyNumberFormat="1" applyFont="1" applyFill="0" applyBorder="1" applyAlignment="1" applyProtection="0">
      <alignment horizontal="center" vertical="bottom"/>
    </xf>
    <xf numFmtId="0" fontId="0" fillId="7" borderId="31" applyNumberFormat="0" applyFont="1" applyFill="1" applyBorder="1" applyAlignment="1" applyProtection="0">
      <alignment vertical="center"/>
    </xf>
    <xf numFmtId="0" fontId="0" fillId="7" borderId="31" applyNumberFormat="0" applyFont="1" applyFill="1" applyBorder="1" applyAlignment="1" applyProtection="0">
      <alignment horizontal="right" vertical="center"/>
    </xf>
    <xf numFmtId="0" fontId="0" borderId="31" applyNumberFormat="0" applyFont="1" applyFill="0" applyBorder="1" applyAlignment="1" applyProtection="0">
      <alignment horizontal="right" vertical="bottom"/>
    </xf>
    <xf numFmtId="49" fontId="15" fillId="8" borderId="29" applyNumberFormat="1" applyFont="1" applyFill="1" applyBorder="1" applyAlignment="1" applyProtection="0">
      <alignment horizontal="left" vertical="center"/>
    </xf>
    <xf numFmtId="49" fontId="15" fillId="8" borderId="29" applyNumberFormat="1" applyFont="1" applyFill="1" applyBorder="1" applyAlignment="1" applyProtection="0">
      <alignment horizontal="center" vertical="center"/>
    </xf>
    <xf numFmtId="9" fontId="0" fillId="8" borderId="29" applyNumberFormat="1" applyFont="1" applyFill="1" applyBorder="1" applyAlignment="1" applyProtection="0">
      <alignment horizontal="center" vertical="center"/>
    </xf>
    <xf numFmtId="62" fontId="0" fillId="8" borderId="29" applyNumberFormat="1" applyFont="1" applyFill="1" applyBorder="1" applyAlignment="1" applyProtection="0">
      <alignment horizontal="center" vertical="center"/>
    </xf>
    <xf numFmtId="0" fontId="0" fillId="7" borderId="32" applyNumberFormat="0" applyFont="1" applyFill="1" applyBorder="1" applyAlignment="1" applyProtection="0">
      <alignment vertical="center"/>
    </xf>
    <xf numFmtId="0" fontId="0" fillId="7" borderId="33" applyNumberFormat="0" applyFont="1" applyFill="1" applyBorder="1" applyAlignment="1" applyProtection="0">
      <alignment vertical="center"/>
    </xf>
    <xf numFmtId="49" fontId="0" fillId="9" borderId="29" applyNumberFormat="1" applyFont="1" applyFill="1" applyBorder="1" applyAlignment="1" applyProtection="0">
      <alignment horizontal="left" vertical="center"/>
    </xf>
    <xf numFmtId="49" fontId="0" fillId="9" borderId="29" applyNumberFormat="1" applyFont="1" applyFill="1" applyBorder="1" applyAlignment="1" applyProtection="0">
      <alignment horizontal="center" vertical="center"/>
    </xf>
    <xf numFmtId="9" fontId="0" fillId="9" borderId="29" applyNumberFormat="1" applyFont="1" applyFill="1" applyBorder="1" applyAlignment="1" applyProtection="0">
      <alignment horizontal="center" vertical="center"/>
    </xf>
    <xf numFmtId="62" fontId="0" fillId="9" borderId="29" applyNumberFormat="1" applyFont="1" applyFill="1" applyBorder="1" applyAlignment="1" applyProtection="0">
      <alignment horizontal="center" vertical="center"/>
    </xf>
    <xf numFmtId="49" fontId="15" fillId="10" borderId="29" applyNumberFormat="1" applyFont="1" applyFill="1" applyBorder="1" applyAlignment="1" applyProtection="0">
      <alignment horizontal="left" vertical="center"/>
    </xf>
    <xf numFmtId="49" fontId="15" fillId="10" borderId="29" applyNumberFormat="1" applyFont="1" applyFill="1" applyBorder="1" applyAlignment="1" applyProtection="0">
      <alignment horizontal="center" vertical="center"/>
    </xf>
    <xf numFmtId="9" fontId="0" fillId="10" borderId="29" applyNumberFormat="1" applyFont="1" applyFill="1" applyBorder="1" applyAlignment="1" applyProtection="0">
      <alignment horizontal="center" vertical="center"/>
    </xf>
    <xf numFmtId="62" fontId="0" fillId="10" borderId="29" applyNumberFormat="1" applyFont="1" applyFill="1" applyBorder="1" applyAlignment="1" applyProtection="0">
      <alignment horizontal="center" vertical="center"/>
    </xf>
    <xf numFmtId="49" fontId="0" fillId="11" borderId="29" applyNumberFormat="1" applyFont="1" applyFill="1" applyBorder="1" applyAlignment="1" applyProtection="0">
      <alignment horizontal="left" vertical="center"/>
    </xf>
    <xf numFmtId="49" fontId="0" fillId="11" borderId="29" applyNumberFormat="1" applyFont="1" applyFill="1" applyBorder="1" applyAlignment="1" applyProtection="0">
      <alignment horizontal="center" vertical="center"/>
    </xf>
    <xf numFmtId="9" fontId="0" fillId="11" borderId="29" applyNumberFormat="1" applyFont="1" applyFill="1" applyBorder="1" applyAlignment="1" applyProtection="0">
      <alignment horizontal="center" vertical="center"/>
    </xf>
    <xf numFmtId="62" fontId="0" fillId="11" borderId="29" applyNumberFormat="1" applyFont="1" applyFill="1" applyBorder="1" applyAlignment="1" applyProtection="0">
      <alignment horizontal="center" vertical="center"/>
    </xf>
    <xf numFmtId="0" fontId="0" fillId="11" borderId="29" applyNumberFormat="0" applyFont="1" applyFill="1" applyBorder="1" applyAlignment="1" applyProtection="0">
      <alignment horizontal="center" vertical="center"/>
    </xf>
    <xf numFmtId="49" fontId="15" fillId="12" borderId="29" applyNumberFormat="1" applyFont="1" applyFill="1" applyBorder="1" applyAlignment="1" applyProtection="0">
      <alignment horizontal="left" vertical="center"/>
    </xf>
    <xf numFmtId="49" fontId="15" fillId="12" borderId="29" applyNumberFormat="1" applyFont="1" applyFill="1" applyBorder="1" applyAlignment="1" applyProtection="0">
      <alignment horizontal="center" vertical="center"/>
    </xf>
    <xf numFmtId="9" fontId="0" fillId="12" borderId="29" applyNumberFormat="1" applyFont="1" applyFill="1" applyBorder="1" applyAlignment="1" applyProtection="0">
      <alignment horizontal="center" vertical="center"/>
    </xf>
    <xf numFmtId="62" fontId="0" fillId="12" borderId="29" applyNumberFormat="1" applyFont="1" applyFill="1" applyBorder="1" applyAlignment="1" applyProtection="0">
      <alignment horizontal="center" vertical="center"/>
    </xf>
    <xf numFmtId="49" fontId="0" fillId="13" borderId="29" applyNumberFormat="1" applyFont="1" applyFill="1" applyBorder="1" applyAlignment="1" applyProtection="0">
      <alignment horizontal="left" vertical="center"/>
    </xf>
    <xf numFmtId="49" fontId="0" fillId="13" borderId="29" applyNumberFormat="1" applyFont="1" applyFill="1" applyBorder="1" applyAlignment="1" applyProtection="0">
      <alignment horizontal="center" vertical="center"/>
    </xf>
    <xf numFmtId="9" fontId="0" fillId="13" borderId="29" applyNumberFormat="1" applyFont="1" applyFill="1" applyBorder="1" applyAlignment="1" applyProtection="0">
      <alignment horizontal="center" vertical="center"/>
    </xf>
    <xf numFmtId="62" fontId="0" fillId="13" borderId="29" applyNumberFormat="1" applyFont="1" applyFill="1" applyBorder="1" applyAlignment="1" applyProtection="0">
      <alignment horizontal="center" vertical="center"/>
    </xf>
    <xf numFmtId="49" fontId="15" fillId="14" borderId="29" applyNumberFormat="1" applyFont="1" applyFill="1" applyBorder="1" applyAlignment="1" applyProtection="0">
      <alignment horizontal="left" vertical="center"/>
    </xf>
    <xf numFmtId="49" fontId="15" fillId="14" borderId="29" applyNumberFormat="1" applyFont="1" applyFill="1" applyBorder="1" applyAlignment="1" applyProtection="0">
      <alignment horizontal="center" vertical="center"/>
    </xf>
    <xf numFmtId="9" fontId="0" fillId="14" borderId="29" applyNumberFormat="1" applyFont="1" applyFill="1" applyBorder="1" applyAlignment="1" applyProtection="0">
      <alignment horizontal="center" vertical="center"/>
    </xf>
    <xf numFmtId="62" fontId="0" fillId="14" borderId="29" applyNumberFormat="1" applyFont="1" applyFill="1" applyBorder="1" applyAlignment="1" applyProtection="0">
      <alignment horizontal="center" vertical="center"/>
    </xf>
    <xf numFmtId="49" fontId="0" fillId="15" borderId="29" applyNumberFormat="1" applyFont="1" applyFill="1" applyBorder="1" applyAlignment="1" applyProtection="0">
      <alignment horizontal="left" vertical="center"/>
    </xf>
    <xf numFmtId="49" fontId="0" fillId="15" borderId="29" applyNumberFormat="1" applyFont="1" applyFill="1" applyBorder="1" applyAlignment="1" applyProtection="0">
      <alignment horizontal="center" vertical="center"/>
    </xf>
    <xf numFmtId="9" fontId="0" fillId="15" borderId="29" applyNumberFormat="1" applyFont="1" applyFill="1" applyBorder="1" applyAlignment="1" applyProtection="0">
      <alignment horizontal="center" vertical="center"/>
    </xf>
    <xf numFmtId="62" fontId="0" fillId="15" borderId="29" applyNumberFormat="1" applyFont="1" applyFill="1" applyBorder="1" applyAlignment="1" applyProtection="0">
      <alignment horizontal="center" vertical="center"/>
    </xf>
    <xf numFmtId="49" fontId="0" borderId="29" applyNumberFormat="1" applyFont="1" applyFill="0" applyBorder="1" applyAlignment="1" applyProtection="0">
      <alignment horizontal="left" vertical="bottom"/>
    </xf>
    <xf numFmtId="49" fontId="0" borderId="29" applyNumberFormat="1" applyFont="1" applyFill="0" applyBorder="1" applyAlignment="1" applyProtection="0">
      <alignment horizontal="center" vertical="bottom"/>
    </xf>
    <xf numFmtId="62" fontId="0" fillId="2" borderId="29" applyNumberFormat="1" applyFont="1" applyFill="1" applyBorder="1" applyAlignment="1" applyProtection="0">
      <alignment horizontal="center" vertical="bottom"/>
    </xf>
    <xf numFmtId="62" fontId="0" borderId="29" applyNumberFormat="1" applyFont="1" applyFill="0" applyBorder="1" applyAlignment="1" applyProtection="0">
      <alignment horizontal="center" vertical="bottom"/>
    </xf>
    <xf numFmtId="0" fontId="0" fillId="16" borderId="31" applyNumberFormat="0" applyFont="1" applyFill="1" applyBorder="1" applyAlignment="1" applyProtection="0">
      <alignment vertical="center"/>
    </xf>
    <xf numFmtId="62" fontId="0" fillId="12" borderId="29" applyNumberFormat="1" applyFont="1" applyFill="1" applyBorder="1" applyAlignment="1" applyProtection="0">
      <alignment vertical="center"/>
    </xf>
    <xf numFmtId="0" fontId="0" fillId="2" borderId="30" applyNumberFormat="0" applyFont="1" applyFill="1" applyBorder="1" applyAlignment="1" applyProtection="0">
      <alignment horizontal="center" vertical="center"/>
    </xf>
    <xf numFmtId="0" fontId="0" fillId="2" borderId="31" applyNumberFormat="1" applyFont="1" applyFill="1" applyBorder="1" applyAlignment="1" applyProtection="0">
      <alignment horizontal="center" vertical="center"/>
    </xf>
    <xf numFmtId="0" fontId="0" fillId="2" borderId="31" applyNumberFormat="0" applyFont="1" applyFill="1" applyBorder="1" applyAlignment="1" applyProtection="0">
      <alignment vertical="center"/>
    </xf>
    <xf numFmtId="0" fontId="0" fillId="2" borderId="32" applyNumberFormat="0" applyFont="1" applyFill="1" applyBorder="1" applyAlignment="1" applyProtection="0">
      <alignment vertical="center"/>
    </xf>
    <xf numFmtId="0" fontId="0" fillId="2" borderId="34" applyNumberFormat="0" applyFont="1" applyFill="1" applyBorder="1" applyAlignment="1" applyProtection="0">
      <alignment vertical="center"/>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7" applyNumberFormat="0" applyFont="1" applyFill="0" applyBorder="1" applyAlignment="1" applyProtection="0">
      <alignment vertical="bottom"/>
    </xf>
    <xf numFmtId="49" fontId="0" fillId="13" borderId="29" applyNumberFormat="1" applyFont="1" applyFill="1" applyBorder="1" applyAlignment="1" applyProtection="0">
      <alignment horizontal="left" vertical="center" indent="1"/>
    </xf>
    <xf numFmtId="62" fontId="0" fillId="13" borderId="29" applyNumberFormat="1" applyFont="1" applyFill="1" applyBorder="1" applyAlignment="1" applyProtection="0">
      <alignment vertical="center"/>
    </xf>
    <xf numFmtId="0" fontId="0" borderId="38" applyNumberFormat="0" applyFont="1" applyFill="0" applyBorder="1" applyAlignment="1" applyProtection="0">
      <alignment vertical="bottom"/>
    </xf>
    <xf numFmtId="0" fontId="0" fillId="7" borderId="34" applyNumberFormat="0" applyFont="1" applyFill="1" applyBorder="1" applyAlignment="1" applyProtection="0">
      <alignment vertical="center"/>
    </xf>
    <xf numFmtId="62" fontId="0" fillId="14" borderId="29" applyNumberFormat="1" applyFont="1" applyFill="1" applyBorder="1" applyAlignment="1" applyProtection="0">
      <alignment vertical="center"/>
    </xf>
    <xf numFmtId="62" fontId="0" fillId="15" borderId="29" applyNumberFormat="1" applyFont="1" applyFill="1" applyBorder="1" applyAlignment="1" applyProtection="0">
      <alignment vertical="center"/>
    </xf>
    <xf numFmtId="49" fontId="0" fillId="2" borderId="29" applyNumberFormat="1" applyFont="1" applyFill="1" applyBorder="1" applyAlignment="1" applyProtection="0">
      <alignment horizontal="left" vertical="center"/>
    </xf>
    <xf numFmtId="49" fontId="0" fillId="2" borderId="29" applyNumberFormat="1" applyFont="1" applyFill="1" applyBorder="1" applyAlignment="1" applyProtection="0">
      <alignment horizontal="center" vertical="center"/>
    </xf>
    <xf numFmtId="9" fontId="0" fillId="2" borderId="29" applyNumberFormat="1" applyFont="1" applyFill="1" applyBorder="1" applyAlignment="1" applyProtection="0">
      <alignment horizontal="center" vertical="center"/>
    </xf>
    <xf numFmtId="62" fontId="0" fillId="2" borderId="29" applyNumberFormat="1" applyFont="1" applyFill="1" applyBorder="1" applyAlignment="1" applyProtection="0">
      <alignment vertical="center"/>
    </xf>
    <xf numFmtId="62" fontId="0" fillId="2" borderId="29" applyNumberFormat="1" applyFont="1" applyFill="1" applyBorder="1" applyAlignment="1" applyProtection="0">
      <alignment horizontal="center" vertical="center"/>
    </xf>
    <xf numFmtId="0" fontId="0" fillId="2" borderId="39" applyNumberFormat="0" applyFont="1" applyFill="1" applyBorder="1" applyAlignment="1" applyProtection="0">
      <alignment vertical="center"/>
    </xf>
    <xf numFmtId="0" fontId="0" borderId="29" applyNumberFormat="0" applyFont="1" applyFill="0" applyBorder="1" applyAlignment="1" applyProtection="0">
      <alignment vertical="bottom"/>
    </xf>
    <xf numFmtId="0" fontId="0" fillId="2" borderId="29" applyNumberFormat="0" applyFont="1" applyFill="1" applyBorder="1" applyAlignment="1" applyProtection="0">
      <alignment vertical="bottom"/>
    </xf>
    <xf numFmtId="49" fontId="15" fillId="7" borderId="29" applyNumberFormat="1" applyFont="1" applyFill="1" applyBorder="1" applyAlignment="1" applyProtection="0">
      <alignment horizontal="center" vertical="center"/>
    </xf>
    <xf numFmtId="49" fontId="0" fillId="17" borderId="29" applyNumberFormat="1" applyFont="1" applyFill="1" applyBorder="1" applyAlignment="1" applyProtection="0">
      <alignment horizontal="center" vertical="center"/>
    </xf>
    <xf numFmtId="49" fontId="0" fillId="18" borderId="29" applyNumberFormat="1" applyFont="1" applyFill="1" applyBorder="1" applyAlignment="1" applyProtection="0">
      <alignment vertical="center"/>
    </xf>
    <xf numFmtId="0" fontId="0" fillId="2" borderId="36" applyNumberFormat="0" applyFont="1" applyFill="1" applyBorder="1" applyAlignment="1" applyProtection="0">
      <alignment vertical="bottom"/>
    </xf>
    <xf numFmtId="49" fontId="0" borderId="6" applyNumberFormat="1" applyFont="1" applyFill="0" applyBorder="1" applyAlignment="1" applyProtection="0">
      <alignment vertical="bottom"/>
    </xf>
    <xf numFmtId="0" fontId="0" fillId="2" borderId="6" applyNumberFormat="0" applyFont="1" applyFill="1" applyBorder="1" applyAlignment="1" applyProtection="0">
      <alignment vertical="bottom"/>
    </xf>
    <xf numFmtId="0" fontId="0" borderId="40" applyNumberFormat="0" applyFont="1" applyFill="0" applyBorder="1" applyAlignment="1" applyProtection="0">
      <alignment vertical="bottom"/>
    </xf>
    <xf numFmtId="49" fontId="0" borderId="41" applyNumberFormat="1" applyFont="1" applyFill="0" applyBorder="1" applyAlignment="1" applyProtection="0">
      <alignment vertical="bottom"/>
    </xf>
    <xf numFmtId="0" fontId="0" borderId="41" applyNumberFormat="0" applyFont="1" applyFill="0" applyBorder="1" applyAlignment="1" applyProtection="0">
      <alignment vertical="bottom"/>
    </xf>
    <xf numFmtId="0" fontId="0" fillId="2" borderId="41" applyNumberFormat="0" applyFont="1" applyFill="1" applyBorder="1" applyAlignment="1" applyProtection="0">
      <alignment vertical="bottom"/>
    </xf>
    <xf numFmtId="0" fontId="0" borderId="42" applyNumberFormat="0"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top"/>
    </xf>
    <xf numFmtId="0" fontId="0" fillId="2" borderId="2"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49" fontId="16" fillId="2" borderId="6" applyNumberFormat="1" applyFont="1" applyFill="1" applyBorder="1" applyAlignment="1" applyProtection="0">
      <alignment horizontal="left" vertical="top"/>
    </xf>
    <xf numFmtId="0" fontId="16" fillId="2" borderId="6" applyNumberFormat="0" applyFont="1" applyFill="1" applyBorder="1" applyAlignment="1" applyProtection="0">
      <alignment horizontal="left" vertical="bottom"/>
    </xf>
    <xf numFmtId="0" fontId="0" fillId="2" borderId="10" applyNumberFormat="0" applyFont="1" applyFill="1" applyBorder="1" applyAlignment="1" applyProtection="0">
      <alignment vertical="bottom"/>
    </xf>
    <xf numFmtId="49" fontId="17" fillId="2" borderId="6" applyNumberFormat="1" applyFont="1" applyFill="1" applyBorder="1" applyAlignment="1" applyProtection="0">
      <alignment vertical="top"/>
    </xf>
    <xf numFmtId="0" fontId="17" fillId="2" borderId="6" applyNumberFormat="0" applyFont="1" applyFill="1" applyBorder="1" applyAlignment="1" applyProtection="0">
      <alignment vertical="bottom"/>
    </xf>
    <xf numFmtId="49" fontId="18" fillId="2" borderId="6" applyNumberFormat="1" applyFont="1" applyFill="1" applyBorder="1" applyAlignment="1" applyProtection="0">
      <alignment vertical="top"/>
    </xf>
    <xf numFmtId="0" fontId="0" fillId="2" borderId="6" applyNumberFormat="0" applyFont="1" applyFill="1" applyBorder="1" applyAlignment="1" applyProtection="0">
      <alignment vertical="top"/>
    </xf>
    <xf numFmtId="49" fontId="19" fillId="2" borderId="6" applyNumberFormat="1" applyFont="1" applyFill="1" applyBorder="1" applyAlignment="1" applyProtection="0">
      <alignment vertical="center"/>
    </xf>
    <xf numFmtId="49" fontId="20" fillId="2" borderId="6" applyNumberFormat="1" applyFont="1" applyFill="1" applyBorder="1" applyAlignment="1" applyProtection="0">
      <alignment horizontal="left" vertical="top" wrapText="1"/>
    </xf>
    <xf numFmtId="0" fontId="20" fillId="2" borderId="6" applyNumberFormat="0" applyFont="1" applyFill="1" applyBorder="1" applyAlignment="1" applyProtection="0">
      <alignment vertical="top" wrapText="1"/>
    </xf>
    <xf numFmtId="49" fontId="21" fillId="2" borderId="6" applyNumberFormat="1" applyFont="1" applyFill="1" applyBorder="1" applyAlignment="1" applyProtection="0">
      <alignment horizontal="left" vertical="bottom"/>
    </xf>
    <xf numFmtId="0" fontId="21" fillId="2" borderId="6" applyNumberFormat="0" applyFont="1" applyFill="1" applyBorder="1" applyAlignment="1" applyProtection="0">
      <alignment horizontal="left" vertical="bottom"/>
    </xf>
    <xf numFmtId="0" fontId="0" fillId="2" borderId="40" applyNumberFormat="0" applyFont="1" applyFill="1" applyBorder="1" applyAlignment="1" applyProtection="0">
      <alignment vertical="bottom"/>
    </xf>
    <xf numFmtId="49" fontId="20" fillId="2" borderId="41" applyNumberFormat="1" applyFont="1" applyFill="1" applyBorder="1" applyAlignment="1" applyProtection="0">
      <alignment horizontal="left" vertical="top" wrapText="1"/>
    </xf>
    <xf numFmtId="0" fontId="0" fillId="2" borderId="42"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595959"/>
      <rgbColor rgb="ff3b608d"/>
      <rgbColor rgb="ffffffff"/>
      <rgbColor rgb="ffa5a5a5"/>
      <rgbColor rgb="ff7f7f7f"/>
      <rgbColor rgb="ff0000ff"/>
      <rgbColor rgb="ffd8d8d8"/>
      <rgbColor rgb="ffc00000"/>
      <rgbColor rgb="ffb8cce4"/>
      <rgbColor rgb="ffdbe5f1"/>
      <rgbColor rgb="ff5b9bd5"/>
      <rgbColor rgb="ffe5b8b7"/>
      <rgbColor rgb="fff2dbdb"/>
      <rgbColor rgb="ffd6e3bc"/>
      <rgbColor rgb="ffeaf1dd"/>
      <rgbColor rgb="ffccc0d9"/>
      <rgbColor rgb="ffe5dfec"/>
      <rgbColor rgb="ffb6dde8"/>
      <rgbColor rgb="ffdaeef3"/>
      <rgbColor rgb="fff2f2f2"/>
      <rgbColor rgb="ffd9eaf7"/>
      <rgbColor rgb="fff4b183"/>
      <rgbColor rgb="ff1d212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Relationships xmlns="http://schemas.openxmlformats.org/package/2006/relationships"><Relationship Id="rId1" Type="http://schemas.openxmlformats.org/officeDocument/2006/relationships/hyperlink" Target="///xl/media/image1.png" TargetMode="External"/><Relationship Id="rId2"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0</xdr:colOff>
      <xdr:row>0</xdr:row>
      <xdr:rowOff>95250</xdr:rowOff>
    </xdr:from>
    <xdr:to>
      <xdr:col>1</xdr:col>
      <xdr:colOff>1905000</xdr:colOff>
      <xdr:row>0</xdr:row>
      <xdr:rowOff>523875</xdr:rowOff>
    </xdr:to>
    <xdr:pic>
      <xdr:nvPicPr>
        <xdr:cNvPr id="3" name="Picture 1" descr="Picture 1">
          <a:hlinkClick r:id="rId1" invalidUrl="" action="" tgtFrame="" tooltip="" history="1" highlightClick="0" endSnd="0"/>
        </xdr:cNvPr>
        <xdr:cNvPicPr>
          <a:picLocks noChangeAspect="1"/>
        </xdr:cNvPicPr>
      </xdr:nvPicPr>
      <xdr:blipFill>
        <a:blip r:embed="rId2">
          <a:extLst/>
        </a:blip>
        <a:stretch>
          <a:fillRect/>
        </a:stretch>
      </xdr:blipFill>
      <xdr:spPr>
        <a:xfrm>
          <a:off x="215900" y="95250"/>
          <a:ext cx="1905000" cy="428625"/>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vertex42.link/HowToMakeAGanttChart" TargetMode="Externa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hyperlink" Target="https://www.vertex42.com/ExcelTemplates/simple-gantt-chart.html" TargetMode="External"/><Relationship Id="rId5" Type="http://schemas.openxmlformats.org/officeDocument/2006/relationships/drawing" Target="../drawings/drawing1.xml"/><Relationship Id="rId6" Type="http://schemas.openxmlformats.org/officeDocument/2006/relationships/vmlDrawing" Target="../drawings/vmlDrawing1.vml"/><Relationship Id="rId7" Type="http://schemas.openxmlformats.org/officeDocument/2006/relationships/comments" Target="../comments1.xml"/></Relationships>

</file>

<file path=xl/worksheets/_rels/sheet2.xml.rels><?xml version="1.0" encoding="UTF-8"?>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vertex42.link/HowToMakeAGanttChart" TargetMode="External"/><Relationship Id="rId5"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1:BL60"/>
  <sheetViews>
    <sheetView workbookViewId="0" showGridLines="0" defaultGridColor="1"/>
  </sheetViews>
  <sheetFormatPr defaultColWidth="8.83333" defaultRowHeight="15" customHeight="1" outlineLevelRow="0" outlineLevelCol="0"/>
  <cols>
    <col min="1" max="1" width="2.67188" style="1" customWidth="1"/>
    <col min="2" max="2" width="19.8516" style="1" customWidth="1"/>
    <col min="3" max="3" width="9.17188" style="1" customWidth="1"/>
    <col min="4" max="4" width="10.6719" style="1" customWidth="1"/>
    <col min="5" max="6" width="10.5" style="1" customWidth="1"/>
    <col min="7" max="7" width="2.67188" style="1" customWidth="1"/>
    <col min="8" max="8" hidden="1" width="8.83333" style="1" customWidth="1"/>
    <col min="9" max="64" width="2.5" style="1" customWidth="1"/>
    <col min="65" max="16384" width="8.85156" style="1" customWidth="1"/>
  </cols>
  <sheetData>
    <row r="1" ht="28.5" customHeight="1">
      <c r="A1" s="2"/>
      <c r="B1" t="s" s="3">
        <v>0</v>
      </c>
      <c r="C1" s="4"/>
      <c r="D1" s="5"/>
      <c r="E1" s="6"/>
      <c r="F1" s="7"/>
      <c r="G1" s="8"/>
      <c r="H1" s="5"/>
      <c r="I1" s="9"/>
      <c r="J1" t="str" s="10" cm="1">
        <f t="array" ref="J1">HYPERLINK("https://vertex42.link/HowToMakeAGanttChart","► Watch How to Make a Gantt Chart in Excel")</f>
        <v>► Watch How to Make a Gantt Chart in Excel</v>
      </c>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11"/>
    </row>
    <row r="2" ht="19.5" customHeight="1">
      <c r="A2" s="12"/>
      <c r="B2" t="s" s="13">
        <v>2</v>
      </c>
      <c r="C2" s="14"/>
      <c r="D2" t="s" s="15">
        <v>3</v>
      </c>
      <c r="E2" s="16">
        <v>46237</v>
      </c>
      <c r="F2" s="17"/>
      <c r="G2" s="18"/>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9"/>
    </row>
    <row r="3" ht="19.5" customHeight="1">
      <c r="A3" s="12"/>
      <c r="B3" t="s" s="13">
        <v>4</v>
      </c>
      <c r="C3" s="14"/>
      <c r="D3" t="s" s="15">
        <v>5</v>
      </c>
      <c r="E3" s="16">
        <v>46278</v>
      </c>
      <c r="F3" s="17"/>
      <c r="G3" s="18"/>
      <c r="H3" s="14"/>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1"/>
    </row>
    <row r="4" ht="19.5" customHeight="1">
      <c r="A4" s="12"/>
      <c r="B4" s="14"/>
      <c r="C4" s="14"/>
      <c r="D4" t="s" s="15">
        <v>6</v>
      </c>
      <c r="E4" s="22">
        <v>1</v>
      </c>
      <c r="F4" s="23"/>
      <c r="G4" s="24"/>
      <c r="H4" s="25"/>
      <c r="I4" t="s" s="26">
        <v>7</v>
      </c>
      <c r="J4" s="23"/>
      <c r="K4" s="27"/>
      <c r="L4" s="27"/>
      <c r="M4" s="27"/>
      <c r="N4" s="27"/>
      <c r="O4" s="28"/>
      <c r="P4" t="s" s="26">
        <v>8</v>
      </c>
      <c r="Q4" s="23"/>
      <c r="R4" s="27"/>
      <c r="S4" s="27"/>
      <c r="T4" s="27"/>
      <c r="U4" s="27"/>
      <c r="V4" s="28"/>
      <c r="W4" t="s" s="26">
        <v>9</v>
      </c>
      <c r="X4" s="23"/>
      <c r="Y4" s="27"/>
      <c r="Z4" s="27"/>
      <c r="AA4" s="27"/>
      <c r="AB4" s="27"/>
      <c r="AC4" s="28"/>
      <c r="AD4" t="s" s="26">
        <v>10</v>
      </c>
      <c r="AE4" s="23"/>
      <c r="AF4" s="27"/>
      <c r="AG4" s="27"/>
      <c r="AH4" s="27"/>
      <c r="AI4" s="27"/>
      <c r="AJ4" s="28"/>
      <c r="AK4" t="s" s="26">
        <v>11</v>
      </c>
      <c r="AL4" s="23"/>
      <c r="AM4" s="27"/>
      <c r="AN4" s="27"/>
      <c r="AO4" s="27"/>
      <c r="AP4" s="27"/>
      <c r="AQ4" s="28"/>
      <c r="AR4" t="s" s="26">
        <v>12</v>
      </c>
      <c r="AS4" s="23"/>
      <c r="AT4" s="27"/>
      <c r="AU4" s="27"/>
      <c r="AV4" s="27"/>
      <c r="AW4" s="27"/>
      <c r="AX4" s="29"/>
      <c r="AY4" s="30" cm="1">
        <f t="array" ref="AY4">AY5</f>
        <v>46279</v>
      </c>
      <c r="AZ4" s="23"/>
      <c r="BA4" s="27"/>
      <c r="BB4" s="27"/>
      <c r="BC4" s="27"/>
      <c r="BD4" s="27"/>
      <c r="BE4" s="28"/>
      <c r="BF4" s="30" cm="1">
        <f t="array" ref="BF4">BF5</f>
        <v>46286</v>
      </c>
      <c r="BG4" s="23"/>
      <c r="BH4" s="27"/>
      <c r="BI4" s="27"/>
      <c r="BJ4" s="27"/>
      <c r="BK4" s="27"/>
      <c r="BL4" s="28"/>
    </row>
    <row r="5" ht="13.55" customHeight="1">
      <c r="A5" s="31"/>
      <c r="B5" s="20"/>
      <c r="C5" s="20"/>
      <c r="D5" s="20"/>
      <c r="E5" s="32"/>
      <c r="F5" s="20"/>
      <c r="G5" s="33"/>
      <c r="H5" s="34"/>
      <c r="I5" s="35">
        <v>46237</v>
      </c>
      <c r="J5" s="36">
        <v>46238</v>
      </c>
      <c r="K5" s="36">
        <v>46239</v>
      </c>
      <c r="L5" s="36">
        <v>46240</v>
      </c>
      <c r="M5" s="36">
        <v>46241</v>
      </c>
      <c r="N5" s="36">
        <v>46242</v>
      </c>
      <c r="O5" s="37">
        <v>46243</v>
      </c>
      <c r="P5" s="35">
        <v>46244</v>
      </c>
      <c r="Q5" s="36">
        <v>46245</v>
      </c>
      <c r="R5" s="36">
        <v>46246</v>
      </c>
      <c r="S5" s="36">
        <v>46247</v>
      </c>
      <c r="T5" s="36">
        <v>46248</v>
      </c>
      <c r="U5" s="36">
        <v>46249</v>
      </c>
      <c r="V5" s="37">
        <v>46250</v>
      </c>
      <c r="W5" s="35">
        <v>46251</v>
      </c>
      <c r="X5" s="36">
        <v>46252</v>
      </c>
      <c r="Y5" s="36">
        <v>46253</v>
      </c>
      <c r="Z5" s="36">
        <v>46254</v>
      </c>
      <c r="AA5" s="36">
        <v>46255</v>
      </c>
      <c r="AB5" s="36">
        <v>46256</v>
      </c>
      <c r="AC5" s="37">
        <v>46257</v>
      </c>
      <c r="AD5" s="35">
        <v>46258</v>
      </c>
      <c r="AE5" s="36">
        <v>46259</v>
      </c>
      <c r="AF5" s="36">
        <v>46260</v>
      </c>
      <c r="AG5" s="36">
        <v>46261</v>
      </c>
      <c r="AH5" s="36">
        <v>46262</v>
      </c>
      <c r="AI5" s="36">
        <v>46263</v>
      </c>
      <c r="AJ5" s="37">
        <v>46264</v>
      </c>
      <c r="AK5" s="35">
        <v>46265</v>
      </c>
      <c r="AL5" s="36">
        <v>46266</v>
      </c>
      <c r="AM5" s="36">
        <v>46267</v>
      </c>
      <c r="AN5" s="36">
        <v>46268</v>
      </c>
      <c r="AO5" s="36">
        <v>46269</v>
      </c>
      <c r="AP5" s="36">
        <v>46270</v>
      </c>
      <c r="AQ5" s="37">
        <v>46271</v>
      </c>
      <c r="AR5" s="35">
        <v>46272</v>
      </c>
      <c r="AS5" s="36">
        <v>46273</v>
      </c>
      <c r="AT5" s="36">
        <v>46274</v>
      </c>
      <c r="AU5" s="36">
        <v>46275</v>
      </c>
      <c r="AV5" s="36">
        <v>46276</v>
      </c>
      <c r="AW5" s="38">
        <v>46277</v>
      </c>
      <c r="AX5" s="39">
        <v>46278</v>
      </c>
      <c r="AY5" s="40" cm="1">
        <f t="array" ref="AY5">AX5+1</f>
        <v>46279</v>
      </c>
      <c r="AZ5" s="41" cm="1">
        <f t="array" ref="AZ5">AY5+1</f>
        <v>46280</v>
      </c>
      <c r="BA5" s="41" cm="1">
        <f t="array" ref="BA5">AZ5+1</f>
        <v>46281</v>
      </c>
      <c r="BB5" s="41" cm="1">
        <f t="array" ref="BB5">BA5+1</f>
        <v>46282</v>
      </c>
      <c r="BC5" s="41" cm="1">
        <f t="array" ref="BC5">BB5+1</f>
        <v>46283</v>
      </c>
      <c r="BD5" s="41" cm="1">
        <f t="array" ref="BD5">BC5+1</f>
        <v>46284</v>
      </c>
      <c r="BE5" s="42" cm="1">
        <f t="array" ref="BE5">BD5+1</f>
        <v>46285</v>
      </c>
      <c r="BF5" s="40" cm="1">
        <f t="array" ref="BF5">BE5+1</f>
        <v>46286</v>
      </c>
      <c r="BG5" s="41" cm="1">
        <f t="array" ref="BG5">BF5+1</f>
        <v>46287</v>
      </c>
      <c r="BH5" s="41" cm="1">
        <f t="array" ref="BH5">BG5+1</f>
        <v>46288</v>
      </c>
      <c r="BI5" s="41" cm="1">
        <f t="array" ref="BI5">BH5+1</f>
        <v>46289</v>
      </c>
      <c r="BJ5" s="41" cm="1">
        <f t="array" ref="BJ5">BI5+1</f>
        <v>46290</v>
      </c>
      <c r="BK5" s="41" cm="1">
        <f t="array" ref="BK5">BJ5+1</f>
        <v>46291</v>
      </c>
      <c r="BL5" s="42" cm="1">
        <f t="array" ref="BL5">BK5+1</f>
        <v>46292</v>
      </c>
    </row>
    <row r="6" ht="29.25" customHeight="1">
      <c r="A6" s="43"/>
      <c r="B6" t="s" s="44">
        <v>13</v>
      </c>
      <c r="C6" t="s" s="45">
        <v>14</v>
      </c>
      <c r="D6" t="s" s="45">
        <v>15</v>
      </c>
      <c r="E6" t="s" s="45">
        <v>16</v>
      </c>
      <c r="F6" t="s" s="45">
        <v>17</v>
      </c>
      <c r="G6" s="46"/>
      <c r="H6" t="s" s="47">
        <v>18</v>
      </c>
      <c r="I6" t="s" s="48">
        <v>19</v>
      </c>
      <c r="J6" t="s" s="48">
        <v>20</v>
      </c>
      <c r="K6" t="s" s="48">
        <v>21</v>
      </c>
      <c r="L6" t="s" s="48">
        <v>20</v>
      </c>
      <c r="M6" t="s" s="48">
        <v>22</v>
      </c>
      <c r="N6" t="s" s="48">
        <v>23</v>
      </c>
      <c r="O6" t="s" s="48">
        <v>23</v>
      </c>
      <c r="P6" t="s" s="48">
        <v>19</v>
      </c>
      <c r="Q6" t="s" s="48">
        <v>20</v>
      </c>
      <c r="R6" t="s" s="48">
        <v>21</v>
      </c>
      <c r="S6" t="s" s="48">
        <v>20</v>
      </c>
      <c r="T6" t="s" s="48">
        <v>22</v>
      </c>
      <c r="U6" t="s" s="48">
        <v>23</v>
      </c>
      <c r="V6" t="s" s="48">
        <v>23</v>
      </c>
      <c r="W6" t="s" s="48">
        <v>19</v>
      </c>
      <c r="X6" t="s" s="48">
        <v>20</v>
      </c>
      <c r="Y6" t="s" s="48">
        <v>21</v>
      </c>
      <c r="Z6" t="s" s="48">
        <v>20</v>
      </c>
      <c r="AA6" t="s" s="48">
        <v>22</v>
      </c>
      <c r="AB6" t="s" s="48">
        <v>23</v>
      </c>
      <c r="AC6" t="s" s="48">
        <v>23</v>
      </c>
      <c r="AD6" t="s" s="48">
        <v>19</v>
      </c>
      <c r="AE6" t="s" s="48">
        <v>20</v>
      </c>
      <c r="AF6" t="s" s="48">
        <v>21</v>
      </c>
      <c r="AG6" t="s" s="48">
        <v>20</v>
      </c>
      <c r="AH6" t="s" s="48">
        <v>22</v>
      </c>
      <c r="AI6" t="s" s="48">
        <v>23</v>
      </c>
      <c r="AJ6" t="s" s="48">
        <v>23</v>
      </c>
      <c r="AK6" t="s" s="48">
        <v>19</v>
      </c>
      <c r="AL6" t="s" s="48">
        <v>20</v>
      </c>
      <c r="AM6" t="s" s="48">
        <v>21</v>
      </c>
      <c r="AN6" t="s" s="48">
        <v>20</v>
      </c>
      <c r="AO6" t="s" s="48">
        <v>22</v>
      </c>
      <c r="AP6" t="s" s="48">
        <v>23</v>
      </c>
      <c r="AQ6" t="s" s="48">
        <v>23</v>
      </c>
      <c r="AR6" t="s" s="48">
        <v>19</v>
      </c>
      <c r="AS6" t="s" s="48">
        <v>20</v>
      </c>
      <c r="AT6" t="s" s="48">
        <v>21</v>
      </c>
      <c r="AU6" t="s" s="48">
        <v>20</v>
      </c>
      <c r="AV6" t="s" s="48">
        <v>22</v>
      </c>
      <c r="AW6" t="s" s="49">
        <v>23</v>
      </c>
      <c r="AX6" t="s" s="50">
        <v>23</v>
      </c>
      <c r="AY6" s="51">
        <v>0</v>
      </c>
      <c r="AZ6" s="51">
        <v>0</v>
      </c>
      <c r="BA6" s="51">
        <v>0</v>
      </c>
      <c r="BB6" s="51">
        <v>0</v>
      </c>
      <c r="BC6" s="51">
        <v>0</v>
      </c>
      <c r="BD6" s="51">
        <v>0</v>
      </c>
      <c r="BE6" s="51">
        <v>0</v>
      </c>
      <c r="BF6" s="51">
        <v>0</v>
      </c>
      <c r="BG6" s="51">
        <v>0</v>
      </c>
      <c r="BH6" s="51">
        <v>0</v>
      </c>
      <c r="BI6" s="51">
        <v>0</v>
      </c>
      <c r="BJ6" s="51">
        <v>0</v>
      </c>
      <c r="BK6" s="51">
        <v>0</v>
      </c>
      <c r="BL6" s="51">
        <v>0</v>
      </c>
    </row>
    <row r="7" ht="21.75" customHeight="1">
      <c r="A7" s="52"/>
      <c r="B7" s="53"/>
      <c r="C7" s="54"/>
      <c r="D7" s="55"/>
      <c r="E7" s="56"/>
      <c r="F7" s="57"/>
      <c r="G7" s="58"/>
      <c r="H7" t="str" s="59" cm="1">
        <f t="array" ref="H7">IF(OR(ISBLANK($E1),ISBLANK($F1)),"",$F1-$E1+1)</f>
      </c>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1"/>
      <c r="AX7" s="62"/>
      <c r="AY7" s="60"/>
      <c r="AZ7" s="60"/>
      <c r="BA7" s="60"/>
      <c r="BB7" s="60"/>
      <c r="BC7" s="60"/>
      <c r="BD7" s="60"/>
      <c r="BE7" s="60"/>
      <c r="BF7" s="60"/>
      <c r="BG7" s="60"/>
      <c r="BH7" s="60"/>
      <c r="BI7" s="60"/>
      <c r="BJ7" s="60"/>
      <c r="BK7" s="60"/>
      <c r="BL7" s="60"/>
    </row>
    <row r="8" ht="21.75" customHeight="1">
      <c r="A8" s="52"/>
      <c r="B8" t="s" s="63">
        <v>24</v>
      </c>
      <c r="C8" s="64"/>
      <c r="D8" s="65"/>
      <c r="E8" s="66"/>
      <c r="F8" s="66"/>
      <c r="G8" s="58"/>
      <c r="H8" t="str" s="59" cm="1">
        <f t="array" ref="H8">IF(OR(ISBLANK(E8),ISBLANK(F8)),"",F8-E8+1)</f>
      </c>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1"/>
      <c r="AX8" s="62"/>
      <c r="AY8" s="60"/>
      <c r="AZ8" s="60"/>
      <c r="BA8" s="60"/>
      <c r="BB8" s="60"/>
      <c r="BC8" s="60"/>
      <c r="BD8" s="60"/>
      <c r="BE8" s="60"/>
      <c r="BF8" s="60"/>
      <c r="BG8" s="60"/>
      <c r="BH8" s="60"/>
      <c r="BI8" s="60"/>
      <c r="BJ8" s="60"/>
      <c r="BK8" s="60"/>
      <c r="BL8" s="60"/>
    </row>
    <row r="9" ht="21.75" customHeight="1">
      <c r="A9" s="52"/>
      <c r="B9" t="s" s="67">
        <v>25</v>
      </c>
      <c r="C9" t="s" s="68">
        <v>26</v>
      </c>
      <c r="D9" s="69">
        <v>1</v>
      </c>
      <c r="E9" s="70">
        <v>46237</v>
      </c>
      <c r="F9" s="70">
        <v>46243</v>
      </c>
      <c r="G9" s="58"/>
      <c r="H9" s="71" cm="1">
        <f t="array" ref="H9">IF(OR(ISBLANK(E9),ISBLANK(F9)),"",F9-E9+1)</f>
        <v>7</v>
      </c>
      <c r="I9" s="72"/>
      <c r="J9" s="72"/>
      <c r="K9" s="72"/>
      <c r="L9" s="72"/>
      <c r="M9" s="72"/>
      <c r="N9" s="72"/>
      <c r="O9" s="72"/>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1"/>
      <c r="AX9" s="62"/>
      <c r="AY9" s="60"/>
      <c r="AZ9" s="60"/>
      <c r="BA9" s="60"/>
      <c r="BB9" s="60"/>
      <c r="BC9" s="60"/>
      <c r="BD9" s="60"/>
      <c r="BE9" s="60"/>
      <c r="BF9" s="60"/>
      <c r="BG9" s="60"/>
      <c r="BH9" s="60"/>
      <c r="BI9" s="60"/>
      <c r="BJ9" s="60"/>
      <c r="BK9" s="60"/>
      <c r="BL9" s="60"/>
    </row>
    <row r="10" ht="21.75" customHeight="1">
      <c r="A10" s="52"/>
      <c r="B10" t="s" s="67">
        <v>27</v>
      </c>
      <c r="C10" t="s" s="68">
        <v>26</v>
      </c>
      <c r="D10" s="69">
        <v>1</v>
      </c>
      <c r="E10" s="70">
        <v>46244</v>
      </c>
      <c r="F10" s="70">
        <v>46250</v>
      </c>
      <c r="G10" s="58"/>
      <c r="H10" s="71" cm="1">
        <f t="array" ref="H10">IF(OR(ISBLANK(E10),ISBLANK(F10)),"",F10-E10+1)</f>
        <v>7</v>
      </c>
      <c r="I10" s="60"/>
      <c r="J10" s="60"/>
      <c r="K10" s="60"/>
      <c r="L10" s="60"/>
      <c r="M10" s="60"/>
      <c r="N10" s="60"/>
      <c r="O10" s="60"/>
      <c r="P10" s="72"/>
      <c r="Q10" s="72"/>
      <c r="R10" s="72"/>
      <c r="S10" s="72"/>
      <c r="T10" s="72"/>
      <c r="U10" s="73"/>
      <c r="V10" s="73"/>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1"/>
      <c r="AX10" s="62"/>
      <c r="AY10" s="60"/>
      <c r="AZ10" s="60"/>
      <c r="BA10" s="60"/>
      <c r="BB10" s="60"/>
      <c r="BC10" s="60"/>
      <c r="BD10" s="60"/>
      <c r="BE10" s="60"/>
      <c r="BF10" s="60"/>
      <c r="BG10" s="60"/>
      <c r="BH10" s="60"/>
      <c r="BI10" s="60"/>
      <c r="BJ10" s="60"/>
      <c r="BK10" s="60"/>
      <c r="BL10" s="60"/>
    </row>
    <row r="11" ht="21.75" customHeight="1">
      <c r="A11" s="52"/>
      <c r="B11" t="s" s="67">
        <v>28</v>
      </c>
      <c r="C11" t="s" s="68">
        <v>26</v>
      </c>
      <c r="D11" s="69">
        <v>1</v>
      </c>
      <c r="E11" s="70">
        <v>46251</v>
      </c>
      <c r="F11" s="70">
        <v>46257</v>
      </c>
      <c r="G11" s="58"/>
      <c r="H11" s="71" cm="1">
        <f t="array" ref="H11">IF(OR(ISBLANK(E11),ISBLANK(F11)),"",F11-E11+1)</f>
        <v>7</v>
      </c>
      <c r="I11" s="60"/>
      <c r="J11" s="60"/>
      <c r="K11" s="60"/>
      <c r="L11" s="60"/>
      <c r="M11" s="60"/>
      <c r="N11" s="60"/>
      <c r="O11" s="60"/>
      <c r="P11" s="60"/>
      <c r="Q11" s="60"/>
      <c r="R11" s="60"/>
      <c r="S11" s="60"/>
      <c r="T11" s="60"/>
      <c r="U11" s="60"/>
      <c r="V11" s="60"/>
      <c r="W11" s="72"/>
      <c r="X11" s="72"/>
      <c r="Y11" s="72"/>
      <c r="Z11" s="72"/>
      <c r="AA11" s="72"/>
      <c r="AB11" s="72"/>
      <c r="AC11" s="72"/>
      <c r="AD11" s="60"/>
      <c r="AE11" s="60"/>
      <c r="AF11" s="60"/>
      <c r="AG11" s="60"/>
      <c r="AH11" s="60"/>
      <c r="AI11" s="60"/>
      <c r="AJ11" s="60"/>
      <c r="AK11" s="60"/>
      <c r="AL11" s="60"/>
      <c r="AM11" s="60"/>
      <c r="AN11" s="60"/>
      <c r="AO11" s="60"/>
      <c r="AP11" s="60"/>
      <c r="AQ11" s="60"/>
      <c r="AR11" s="60"/>
      <c r="AS11" s="60"/>
      <c r="AT11" s="60"/>
      <c r="AU11" s="60"/>
      <c r="AV11" s="60"/>
      <c r="AW11" s="61"/>
      <c r="AX11" s="62"/>
      <c r="AY11" s="60"/>
      <c r="AZ11" s="60"/>
      <c r="BA11" s="60"/>
      <c r="BB11" s="60"/>
      <c r="BC11" s="60"/>
      <c r="BD11" s="60"/>
      <c r="BE11" s="60"/>
      <c r="BF11" s="60"/>
      <c r="BG11" s="60"/>
      <c r="BH11" s="60"/>
      <c r="BI11" s="60"/>
      <c r="BJ11" s="60"/>
      <c r="BK11" s="60"/>
      <c r="BL11" s="60"/>
    </row>
    <row r="12" ht="21.75" customHeight="1">
      <c r="A12" s="52"/>
      <c r="B12" t="s" s="67">
        <v>29</v>
      </c>
      <c r="C12" t="s" s="68">
        <v>26</v>
      </c>
      <c r="D12" s="69">
        <v>1</v>
      </c>
      <c r="E12" s="70">
        <v>46258</v>
      </c>
      <c r="F12" s="70">
        <v>46264</v>
      </c>
      <c r="G12" s="58"/>
      <c r="H12" s="71" cm="1">
        <f t="array" ref="H12">IF(OR(ISBLANK(E12),ISBLANK(F12)),"",F12-E12+1)</f>
        <v>7</v>
      </c>
      <c r="I12" s="60"/>
      <c r="J12" s="60"/>
      <c r="K12" s="60"/>
      <c r="L12" s="60"/>
      <c r="M12" s="60"/>
      <c r="N12" s="60"/>
      <c r="O12" s="60"/>
      <c r="P12" s="60"/>
      <c r="Q12" s="60"/>
      <c r="R12" s="60"/>
      <c r="S12" s="60"/>
      <c r="T12" s="60"/>
      <c r="U12" s="60"/>
      <c r="V12" s="60"/>
      <c r="W12" s="60"/>
      <c r="X12" s="60"/>
      <c r="Y12" s="74"/>
      <c r="Z12" s="60"/>
      <c r="AA12" s="60"/>
      <c r="AB12" s="60"/>
      <c r="AC12" s="60"/>
      <c r="AD12" s="72"/>
      <c r="AE12" s="72"/>
      <c r="AF12" s="72"/>
      <c r="AG12" s="72"/>
      <c r="AH12" s="72"/>
      <c r="AI12" s="72"/>
      <c r="AJ12" s="72"/>
      <c r="AK12" s="60"/>
      <c r="AL12" s="60"/>
      <c r="AM12" s="60"/>
      <c r="AN12" s="60"/>
      <c r="AO12" s="60"/>
      <c r="AP12" s="60"/>
      <c r="AQ12" s="60"/>
      <c r="AR12" s="60"/>
      <c r="AS12" s="60"/>
      <c r="AT12" s="60"/>
      <c r="AU12" s="60"/>
      <c r="AV12" s="60"/>
      <c r="AW12" s="61"/>
      <c r="AX12" s="62"/>
      <c r="AY12" s="60"/>
      <c r="AZ12" s="60"/>
      <c r="BA12" s="60"/>
      <c r="BB12" s="60"/>
      <c r="BC12" s="60"/>
      <c r="BD12" s="60"/>
      <c r="BE12" s="60"/>
      <c r="BF12" s="60"/>
      <c r="BG12" s="60"/>
      <c r="BH12" s="60"/>
      <c r="BI12" s="60"/>
      <c r="BJ12" s="60"/>
      <c r="BK12" s="60"/>
      <c r="BL12" s="60"/>
    </row>
    <row r="13" ht="21.75" customHeight="1">
      <c r="A13" s="52"/>
      <c r="B13" t="s" s="67">
        <v>30</v>
      </c>
      <c r="C13" t="s" s="68">
        <v>26</v>
      </c>
      <c r="D13" s="69">
        <v>1</v>
      </c>
      <c r="E13" s="70">
        <v>46265</v>
      </c>
      <c r="F13" s="70">
        <v>46271</v>
      </c>
      <c r="G13" s="58"/>
      <c r="H13" s="71" cm="1">
        <f t="array" ref="H13">IF(OR(ISBLANK(E13),ISBLANK(F13)),"",F13-E13+1)</f>
        <v>7</v>
      </c>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72"/>
      <c r="AL13" s="72"/>
      <c r="AM13" s="72"/>
      <c r="AN13" s="72"/>
      <c r="AO13" s="72"/>
      <c r="AP13" s="72"/>
      <c r="AQ13" s="72"/>
      <c r="AR13" s="60"/>
      <c r="AS13" s="60"/>
      <c r="AT13" s="60"/>
      <c r="AU13" s="60"/>
      <c r="AV13" s="60"/>
      <c r="AW13" s="61"/>
      <c r="AX13" s="62"/>
      <c r="AY13" s="60"/>
      <c r="AZ13" s="60"/>
      <c r="BA13" s="60"/>
      <c r="BB13" s="60"/>
      <c r="BC13" s="60"/>
      <c r="BD13" s="60"/>
      <c r="BE13" s="60"/>
      <c r="BF13" s="60"/>
      <c r="BG13" s="60"/>
      <c r="BH13" s="60"/>
      <c r="BI13" s="60"/>
      <c r="BJ13" s="60"/>
      <c r="BK13" s="60"/>
      <c r="BL13" s="60"/>
    </row>
    <row r="14" ht="21.75" customHeight="1">
      <c r="A14" s="52"/>
      <c r="B14" t="s" s="75">
        <v>31</v>
      </c>
      <c r="C14" t="s" s="76">
        <v>26</v>
      </c>
      <c r="D14" s="77">
        <v>1</v>
      </c>
      <c r="E14" s="78">
        <v>46272</v>
      </c>
      <c r="F14" s="78">
        <v>46278</v>
      </c>
      <c r="G14" s="58"/>
      <c r="H14" s="71" cm="1">
        <f t="array" ref="H14">IF(OR(ISBLANK(E14),ISBLANK(F14)),"",F14-E14+1)</f>
        <v>7</v>
      </c>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72"/>
      <c r="AS14" s="72"/>
      <c r="AT14" s="72"/>
      <c r="AU14" s="72"/>
      <c r="AV14" s="72"/>
      <c r="AW14" s="79"/>
      <c r="AX14" s="80"/>
      <c r="AY14" s="60"/>
      <c r="AZ14" s="60"/>
      <c r="BA14" s="60"/>
      <c r="BB14" s="60"/>
      <c r="BC14" s="60"/>
      <c r="BD14" s="60"/>
      <c r="BE14" s="60"/>
      <c r="BF14" s="60"/>
      <c r="BG14" s="60"/>
      <c r="BH14" s="60"/>
      <c r="BI14" s="60"/>
      <c r="BJ14" s="60"/>
      <c r="BK14" s="60"/>
      <c r="BL14" s="60"/>
    </row>
    <row r="15" ht="21.75" customHeight="1">
      <c r="A15" s="52"/>
      <c r="B15" t="s" s="81">
        <v>32</v>
      </c>
      <c r="C15" t="s" s="82">
        <v>26</v>
      </c>
      <c r="D15" s="83"/>
      <c r="E15" s="84">
        <v>46279</v>
      </c>
      <c r="F15" s="84">
        <v>46285</v>
      </c>
      <c r="G15" s="58"/>
      <c r="H15" s="71" cm="1">
        <f t="array" ref="H15">IF(OR(ISBLANK(E15),ISBLANK(F15)),"",F15-E15+1)</f>
        <v>7</v>
      </c>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1"/>
      <c r="AX15" s="62"/>
      <c r="AY15" s="60"/>
      <c r="AZ15" s="60"/>
      <c r="BA15" s="60"/>
      <c r="BB15" s="60"/>
      <c r="BC15" s="60"/>
      <c r="BD15" s="60"/>
      <c r="BE15" s="60"/>
      <c r="BF15" s="60"/>
      <c r="BG15" s="60"/>
      <c r="BH15" s="60"/>
      <c r="BI15" s="60"/>
      <c r="BJ15" s="60"/>
      <c r="BK15" s="60"/>
      <c r="BL15" s="60"/>
    </row>
    <row r="16" ht="21.75" customHeight="1">
      <c r="A16" s="52"/>
      <c r="B16" t="s" s="81">
        <v>33</v>
      </c>
      <c r="C16" t="s" s="82">
        <v>26</v>
      </c>
      <c r="D16" s="83"/>
      <c r="E16" s="84">
        <v>46286</v>
      </c>
      <c r="F16" s="84">
        <v>46292</v>
      </c>
      <c r="G16" s="58"/>
      <c r="H16" s="71" cm="1">
        <f t="array" ref="H16">IF(OR(ISBLANK(E16),ISBLANK(F16)),"",F16-E16+1)</f>
        <v>7</v>
      </c>
      <c r="I16" s="60"/>
      <c r="J16" s="60"/>
      <c r="K16" s="60"/>
      <c r="L16" s="60"/>
      <c r="M16" s="60"/>
      <c r="N16" s="60"/>
      <c r="O16" s="60"/>
      <c r="P16" s="60"/>
      <c r="Q16" s="60"/>
      <c r="R16" s="60"/>
      <c r="S16" s="60"/>
      <c r="T16" s="60"/>
      <c r="U16" s="74"/>
      <c r="V16" s="74"/>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1"/>
      <c r="AX16" s="62"/>
      <c r="AY16" s="60"/>
      <c r="AZ16" s="60"/>
      <c r="BA16" s="60"/>
      <c r="BB16" s="60"/>
      <c r="BC16" s="60"/>
      <c r="BD16" s="60"/>
      <c r="BE16" s="60"/>
      <c r="BF16" s="60"/>
      <c r="BG16" s="60"/>
      <c r="BH16" s="60"/>
      <c r="BI16" s="60"/>
      <c r="BJ16" s="60"/>
      <c r="BK16" s="60"/>
      <c r="BL16" s="60"/>
    </row>
    <row r="17" ht="21.75" customHeight="1">
      <c r="A17" s="52"/>
      <c r="B17" t="s" s="81">
        <v>34</v>
      </c>
      <c r="C17" t="s" s="82">
        <v>26</v>
      </c>
      <c r="D17" s="83"/>
      <c r="E17" s="84">
        <v>46293</v>
      </c>
      <c r="F17" s="84">
        <v>46299</v>
      </c>
      <c r="G17" s="58"/>
      <c r="H17" s="71" cm="1">
        <f t="array" ref="H17">IF(OR(ISBLANK(E17),ISBLANK(F17)),"",F17-E17+1)</f>
        <v>7</v>
      </c>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1"/>
      <c r="AX17" s="62"/>
      <c r="AY17" s="60"/>
      <c r="AZ17" s="60"/>
      <c r="BA17" s="60"/>
      <c r="BB17" s="60"/>
      <c r="BC17" s="60"/>
      <c r="BD17" s="60"/>
      <c r="BE17" s="60"/>
      <c r="BF17" s="60"/>
      <c r="BG17" s="60"/>
      <c r="BH17" s="60"/>
      <c r="BI17" s="60"/>
      <c r="BJ17" s="60"/>
      <c r="BK17" s="60"/>
      <c r="BL17" s="60"/>
    </row>
    <row r="18" ht="21.75" customHeight="1">
      <c r="A18" s="52"/>
      <c r="B18" t="s" s="81">
        <v>35</v>
      </c>
      <c r="C18" t="s" s="82">
        <v>26</v>
      </c>
      <c r="D18" s="83"/>
      <c r="E18" s="84">
        <v>46300</v>
      </c>
      <c r="F18" s="84">
        <v>46306</v>
      </c>
      <c r="G18" s="58"/>
      <c r="H18" s="71" cm="1">
        <f t="array" ref="H18">IF(OR(ISBLANK(E18),ISBLANK(F18)),"",F18-E18+1)</f>
        <v>7</v>
      </c>
      <c r="I18" s="60"/>
      <c r="J18" s="60"/>
      <c r="K18" s="60"/>
      <c r="L18" s="60"/>
      <c r="M18" s="60"/>
      <c r="N18" s="60"/>
      <c r="O18" s="60"/>
      <c r="P18" s="60"/>
      <c r="Q18" s="60"/>
      <c r="R18" s="60"/>
      <c r="S18" s="60"/>
      <c r="T18" s="60"/>
      <c r="U18" s="60"/>
      <c r="V18" s="60"/>
      <c r="W18" s="60"/>
      <c r="X18" s="60"/>
      <c r="Y18" s="74"/>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1"/>
      <c r="AX18" s="62"/>
      <c r="AY18" s="60"/>
      <c r="AZ18" s="60"/>
      <c r="BA18" s="60"/>
      <c r="BB18" s="60"/>
      <c r="BC18" s="60"/>
      <c r="BD18" s="60"/>
      <c r="BE18" s="60"/>
      <c r="BF18" s="60"/>
      <c r="BG18" s="60"/>
      <c r="BH18" s="60"/>
      <c r="BI18" s="60"/>
      <c r="BJ18" s="60"/>
      <c r="BK18" s="60"/>
      <c r="BL18" s="60"/>
    </row>
    <row r="19" ht="21.75" customHeight="1">
      <c r="A19" s="52"/>
      <c r="B19" t="s" s="81">
        <v>36</v>
      </c>
      <c r="C19" t="s" s="82">
        <v>26</v>
      </c>
      <c r="D19" s="83"/>
      <c r="E19" s="84">
        <v>46307</v>
      </c>
      <c r="F19" s="84">
        <v>46313</v>
      </c>
      <c r="G19" s="58"/>
      <c r="H19" s="71" cm="1">
        <f t="array" ref="H19">IF(OR(ISBLANK(E19),ISBLANK(F19)),"",F19-E19+1)</f>
        <v>7</v>
      </c>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1"/>
      <c r="AX19" s="62"/>
      <c r="AY19" s="60"/>
      <c r="AZ19" s="60"/>
      <c r="BA19" s="60"/>
      <c r="BB19" s="60"/>
      <c r="BC19" s="60"/>
      <c r="BD19" s="60"/>
      <c r="BE19" s="60"/>
      <c r="BF19" s="60"/>
      <c r="BG19" s="60"/>
      <c r="BH19" s="60"/>
      <c r="BI19" s="60"/>
      <c r="BJ19" s="60"/>
      <c r="BK19" s="60"/>
      <c r="BL19" s="60"/>
    </row>
    <row r="20" ht="21.75" customHeight="1">
      <c r="A20" s="52"/>
      <c r="B20" t="s" s="85">
        <v>37</v>
      </c>
      <c r="C20" t="s" s="86">
        <v>26</v>
      </c>
      <c r="D20" s="87"/>
      <c r="E20" s="88">
        <v>46314</v>
      </c>
      <c r="F20" s="88">
        <v>46320</v>
      </c>
      <c r="G20" s="58"/>
      <c r="H20" s="71" cm="1">
        <f t="array" ref="H20">IF(OR(ISBLANK(E20),ISBLANK(F20)),"",F20-E20+1)</f>
        <v>7</v>
      </c>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1"/>
      <c r="AX20" s="62"/>
      <c r="AY20" s="60"/>
      <c r="AZ20" s="60"/>
      <c r="BA20" s="60"/>
      <c r="BB20" s="60"/>
      <c r="BC20" s="60"/>
      <c r="BD20" s="60"/>
      <c r="BE20" s="60"/>
      <c r="BF20" s="60"/>
      <c r="BG20" s="60"/>
      <c r="BH20" s="60"/>
      <c r="BI20" s="60"/>
      <c r="BJ20" s="60"/>
      <c r="BK20" s="60"/>
      <c r="BL20" s="60"/>
    </row>
    <row r="21" ht="21.75" customHeight="1">
      <c r="A21" s="52"/>
      <c r="B21" t="s" s="89">
        <v>38</v>
      </c>
      <c r="C21" t="s" s="90">
        <v>26</v>
      </c>
      <c r="D21" s="91"/>
      <c r="E21" s="92">
        <v>46321</v>
      </c>
      <c r="F21" s="92">
        <v>46327</v>
      </c>
      <c r="G21" s="58"/>
      <c r="H21" s="71" cm="1">
        <f t="array" ref="H21">IF(OR(ISBLANK(E21),ISBLANK(F21)),"",F21-E21+1)</f>
        <v>7</v>
      </c>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1"/>
      <c r="AX21" s="62"/>
      <c r="AY21" s="60"/>
      <c r="AZ21" s="60"/>
      <c r="BA21" s="60"/>
      <c r="BB21" s="60"/>
      <c r="BC21" s="60"/>
      <c r="BD21" s="60"/>
      <c r="BE21" s="60"/>
      <c r="BF21" s="60"/>
      <c r="BG21" s="60"/>
      <c r="BH21" s="60"/>
      <c r="BI21" s="60"/>
      <c r="BJ21" s="60"/>
      <c r="BK21" s="60"/>
      <c r="BL21" s="60"/>
    </row>
    <row r="22" ht="21.75" customHeight="1">
      <c r="A22" s="52"/>
      <c r="B22" t="s" s="89">
        <v>39</v>
      </c>
      <c r="C22" t="s" s="90">
        <v>26</v>
      </c>
      <c r="D22" s="91"/>
      <c r="E22" s="92">
        <v>46328</v>
      </c>
      <c r="F22" s="92">
        <v>46334</v>
      </c>
      <c r="G22" s="58"/>
      <c r="H22" s="71" cm="1">
        <f t="array" ref="H22">IF(OR(ISBLANK(E22),ISBLANK(F22)),"",F22-E22+1)</f>
        <v>7</v>
      </c>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1"/>
      <c r="AX22" s="62"/>
      <c r="AY22" s="60"/>
      <c r="AZ22" s="60"/>
      <c r="BA22" s="60"/>
      <c r="BB22" s="60"/>
      <c r="BC22" s="60"/>
      <c r="BD22" s="60"/>
      <c r="BE22" s="60"/>
      <c r="BF22" s="60"/>
      <c r="BG22" s="60"/>
      <c r="BH22" s="60"/>
      <c r="BI22" s="60"/>
      <c r="BJ22" s="60"/>
      <c r="BK22" s="60"/>
      <c r="BL22" s="60"/>
    </row>
    <row r="23" ht="21.75" customHeight="1">
      <c r="A23" s="52"/>
      <c r="B23" t="s" s="89">
        <v>40</v>
      </c>
      <c r="C23" t="s" s="90">
        <v>26</v>
      </c>
      <c r="D23" s="91"/>
      <c r="E23" s="92">
        <v>46335</v>
      </c>
      <c r="F23" s="92">
        <v>46341</v>
      </c>
      <c r="G23" s="58"/>
      <c r="H23" s="71" cm="1">
        <f t="array" ref="H23">IF(OR(ISBLANK(E23),ISBLANK(F23)),"",F23-E23+1)</f>
        <v>7</v>
      </c>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1"/>
      <c r="AX23" s="62"/>
      <c r="AY23" s="60"/>
      <c r="AZ23" s="60"/>
      <c r="BA23" s="60"/>
      <c r="BB23" s="60"/>
      <c r="BC23" s="60"/>
      <c r="BD23" s="60"/>
      <c r="BE23" s="60"/>
      <c r="BF23" s="60"/>
      <c r="BG23" s="60"/>
      <c r="BH23" s="60"/>
      <c r="BI23" s="60"/>
      <c r="BJ23" s="60"/>
      <c r="BK23" s="60"/>
      <c r="BL23" s="60"/>
    </row>
    <row r="24" ht="21.75" customHeight="1">
      <c r="A24" s="52"/>
      <c r="B24" t="s" s="89">
        <v>41</v>
      </c>
      <c r="C24" s="93"/>
      <c r="D24" s="91"/>
      <c r="E24" s="92"/>
      <c r="F24" s="92"/>
      <c r="G24" s="58"/>
      <c r="H24" t="str" s="59" cm="1">
        <f t="array" ref="H24">IF(OR(ISBLANK(E24),ISBLANK(F24)),"",F24-E24+1)</f>
      </c>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1"/>
      <c r="AX24" s="62"/>
      <c r="AY24" s="60"/>
      <c r="AZ24" s="60"/>
      <c r="BA24" s="60"/>
      <c r="BB24" s="60"/>
      <c r="BC24" s="60"/>
      <c r="BD24" s="60"/>
      <c r="BE24" s="60"/>
      <c r="BF24" s="60"/>
      <c r="BG24" s="60"/>
      <c r="BH24" s="60"/>
      <c r="BI24" s="60"/>
      <c r="BJ24" s="60"/>
      <c r="BK24" s="60"/>
      <c r="BL24" s="60"/>
    </row>
    <row r="25" ht="21.75" customHeight="1">
      <c r="A25" s="52"/>
      <c r="B25" t="s" s="89">
        <v>42</v>
      </c>
      <c r="C25" t="s" s="90">
        <v>43</v>
      </c>
      <c r="D25" s="91">
        <v>1</v>
      </c>
      <c r="E25" s="92">
        <v>46237</v>
      </c>
      <c r="F25" s="92">
        <v>46243</v>
      </c>
      <c r="G25" s="58"/>
      <c r="H25" s="71" cm="1">
        <f t="array" ref="H25">IF(OR(ISBLANK(E25),ISBLANK(F25)),"",F25-E25+1)</f>
        <v>7</v>
      </c>
      <c r="I25" s="72"/>
      <c r="J25" s="72"/>
      <c r="K25" s="72"/>
      <c r="L25" s="72"/>
      <c r="M25" s="72"/>
      <c r="N25" s="72"/>
      <c r="O25" s="72"/>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1"/>
      <c r="AX25" s="62"/>
      <c r="AY25" s="60"/>
      <c r="AZ25" s="60"/>
      <c r="BA25" s="60"/>
      <c r="BB25" s="60"/>
      <c r="BC25" s="60"/>
      <c r="BD25" s="60"/>
      <c r="BE25" s="60"/>
      <c r="BF25" s="60"/>
      <c r="BG25" s="60"/>
      <c r="BH25" s="60"/>
      <c r="BI25" s="60"/>
      <c r="BJ25" s="60"/>
      <c r="BK25" s="60"/>
      <c r="BL25" s="60"/>
    </row>
    <row r="26" ht="21.75" customHeight="1">
      <c r="A26" s="52"/>
      <c r="B26" t="s" s="94">
        <v>44</v>
      </c>
      <c r="C26" t="s" s="95">
        <v>43</v>
      </c>
      <c r="D26" s="96">
        <v>1</v>
      </c>
      <c r="E26" s="97">
        <v>46244</v>
      </c>
      <c r="F26" s="97">
        <v>46250</v>
      </c>
      <c r="G26" s="58"/>
      <c r="H26" s="71" cm="1">
        <f t="array" ref="H26">IF(OR(ISBLANK(E26),ISBLANK(F26)),"",F26-E26+1)</f>
        <v>7</v>
      </c>
      <c r="I26" s="60"/>
      <c r="J26" s="60"/>
      <c r="K26" s="60"/>
      <c r="L26" s="60"/>
      <c r="M26" s="60"/>
      <c r="N26" s="60"/>
      <c r="O26" s="60"/>
      <c r="P26" s="72"/>
      <c r="Q26" s="72"/>
      <c r="R26" s="72"/>
      <c r="S26" s="72"/>
      <c r="T26" s="72"/>
      <c r="U26" s="72"/>
      <c r="V26" s="72"/>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1"/>
      <c r="AX26" s="62"/>
      <c r="AY26" s="60"/>
      <c r="AZ26" s="60"/>
      <c r="BA26" s="60"/>
      <c r="BB26" s="60"/>
      <c r="BC26" s="60"/>
      <c r="BD26" s="60"/>
      <c r="BE26" s="60"/>
      <c r="BF26" s="60"/>
      <c r="BG26" s="60"/>
      <c r="BH26" s="60"/>
      <c r="BI26" s="60"/>
      <c r="BJ26" s="60"/>
      <c r="BK26" s="60"/>
      <c r="BL26" s="60"/>
    </row>
    <row r="27" ht="21.75" customHeight="1">
      <c r="A27" s="52"/>
      <c r="B27" t="s" s="98">
        <v>45</v>
      </c>
      <c r="C27" t="s" s="99">
        <v>43</v>
      </c>
      <c r="D27" s="100">
        <v>1</v>
      </c>
      <c r="E27" s="101">
        <v>46251</v>
      </c>
      <c r="F27" s="101">
        <v>46257</v>
      </c>
      <c r="G27" s="58"/>
      <c r="H27" s="71" cm="1">
        <f t="array" ref="H27">IF(OR(ISBLANK(E27),ISBLANK(F27)),"",F27-E27+1)</f>
        <v>7</v>
      </c>
      <c r="I27" s="60"/>
      <c r="J27" s="60"/>
      <c r="K27" s="60"/>
      <c r="L27" s="60"/>
      <c r="M27" s="60"/>
      <c r="N27" s="60"/>
      <c r="O27" s="60"/>
      <c r="P27" s="60"/>
      <c r="Q27" s="60"/>
      <c r="R27" s="60"/>
      <c r="S27" s="60"/>
      <c r="T27" s="60"/>
      <c r="U27" s="60"/>
      <c r="V27" s="60"/>
      <c r="W27" s="72"/>
      <c r="X27" s="72"/>
      <c r="Y27" s="72"/>
      <c r="Z27" s="72"/>
      <c r="AA27" s="72"/>
      <c r="AB27" s="72"/>
      <c r="AC27" s="72"/>
      <c r="AD27" s="60"/>
      <c r="AE27" s="60"/>
      <c r="AF27" s="60"/>
      <c r="AG27" s="60"/>
      <c r="AH27" s="60"/>
      <c r="AI27" s="60"/>
      <c r="AJ27" s="60"/>
      <c r="AK27" s="60"/>
      <c r="AL27" s="60"/>
      <c r="AM27" s="60"/>
      <c r="AN27" s="60"/>
      <c r="AO27" s="60"/>
      <c r="AP27" s="60"/>
      <c r="AQ27" s="60"/>
      <c r="AR27" s="60"/>
      <c r="AS27" s="60"/>
      <c r="AT27" s="60"/>
      <c r="AU27" s="60"/>
      <c r="AV27" s="60"/>
      <c r="AW27" s="61"/>
      <c r="AX27" s="62"/>
      <c r="AY27" s="60"/>
      <c r="AZ27" s="60"/>
      <c r="BA27" s="60"/>
      <c r="BB27" s="60"/>
      <c r="BC27" s="60"/>
      <c r="BD27" s="60"/>
      <c r="BE27" s="60"/>
      <c r="BF27" s="60"/>
      <c r="BG27" s="60"/>
      <c r="BH27" s="60"/>
      <c r="BI27" s="60"/>
      <c r="BJ27" s="60"/>
      <c r="BK27" s="60"/>
      <c r="BL27" s="60"/>
    </row>
    <row r="28" ht="21.75" customHeight="1">
      <c r="A28" s="52"/>
      <c r="B28" t="s" s="98">
        <v>46</v>
      </c>
      <c r="C28" t="s" s="99">
        <v>43</v>
      </c>
      <c r="D28" s="100">
        <v>1</v>
      </c>
      <c r="E28" s="101">
        <v>46258</v>
      </c>
      <c r="F28" s="101">
        <v>46264</v>
      </c>
      <c r="G28" s="58"/>
      <c r="H28" s="71" cm="1">
        <f t="array" ref="H28">IF(OR(ISBLANK(E28),ISBLANK(F28)),"",F28-E28+1)</f>
        <v>7</v>
      </c>
      <c r="I28" s="60"/>
      <c r="J28" s="60"/>
      <c r="K28" s="60"/>
      <c r="L28" s="60"/>
      <c r="M28" s="60"/>
      <c r="N28" s="60"/>
      <c r="O28" s="60"/>
      <c r="P28" s="60"/>
      <c r="Q28" s="60"/>
      <c r="R28" s="60"/>
      <c r="S28" s="60"/>
      <c r="T28" s="60"/>
      <c r="U28" s="60"/>
      <c r="V28" s="60"/>
      <c r="W28" s="60"/>
      <c r="X28" s="60"/>
      <c r="Y28" s="60"/>
      <c r="Z28" s="60"/>
      <c r="AA28" s="60"/>
      <c r="AB28" s="60"/>
      <c r="AC28" s="60"/>
      <c r="AD28" s="72"/>
      <c r="AE28" s="72"/>
      <c r="AF28" s="72"/>
      <c r="AG28" s="72"/>
      <c r="AH28" s="72"/>
      <c r="AI28" s="72"/>
      <c r="AJ28" s="72"/>
      <c r="AK28" s="60"/>
      <c r="AL28" s="60"/>
      <c r="AM28" s="60"/>
      <c r="AN28" s="60"/>
      <c r="AO28" s="60"/>
      <c r="AP28" s="60"/>
      <c r="AQ28" s="60"/>
      <c r="AR28" s="60"/>
      <c r="AS28" s="60"/>
      <c r="AT28" s="60"/>
      <c r="AU28" s="60"/>
      <c r="AV28" s="60"/>
      <c r="AW28" s="61"/>
      <c r="AX28" s="62"/>
      <c r="AY28" s="60"/>
      <c r="AZ28" s="60"/>
      <c r="BA28" s="60"/>
      <c r="BB28" s="60"/>
      <c r="BC28" s="60"/>
      <c r="BD28" s="60"/>
      <c r="BE28" s="60"/>
      <c r="BF28" s="60"/>
      <c r="BG28" s="60"/>
      <c r="BH28" s="60"/>
      <c r="BI28" s="60"/>
      <c r="BJ28" s="60"/>
      <c r="BK28" s="60"/>
      <c r="BL28" s="60"/>
    </row>
    <row r="29" ht="21.75" customHeight="1">
      <c r="A29" s="52"/>
      <c r="B29" t="s" s="98">
        <v>47</v>
      </c>
      <c r="C29" t="s" s="99">
        <v>43</v>
      </c>
      <c r="D29" s="100">
        <v>1</v>
      </c>
      <c r="E29" s="101">
        <v>46265</v>
      </c>
      <c r="F29" s="101">
        <v>46271</v>
      </c>
      <c r="G29" s="58"/>
      <c r="H29" s="71" cm="1">
        <f t="array" ref="H29">IF(OR(ISBLANK(E29),ISBLANK(F29)),"",F29-E29+1)</f>
        <v>7</v>
      </c>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72"/>
      <c r="AL29" s="72"/>
      <c r="AM29" s="72"/>
      <c r="AN29" s="72"/>
      <c r="AO29" s="72"/>
      <c r="AP29" s="72"/>
      <c r="AQ29" s="72"/>
      <c r="AR29" s="60"/>
      <c r="AS29" s="60"/>
      <c r="AT29" s="60"/>
      <c r="AU29" s="60"/>
      <c r="AV29" s="60"/>
      <c r="AW29" s="61"/>
      <c r="AX29" s="62"/>
      <c r="AY29" s="60"/>
      <c r="AZ29" s="60"/>
      <c r="BA29" s="60"/>
      <c r="BB29" s="60"/>
      <c r="BC29" s="60"/>
      <c r="BD29" s="60"/>
      <c r="BE29" s="60"/>
      <c r="BF29" s="60"/>
      <c r="BG29" s="60"/>
      <c r="BH29" s="60"/>
      <c r="BI29" s="60"/>
      <c r="BJ29" s="60"/>
      <c r="BK29" s="60"/>
      <c r="BL29" s="60"/>
    </row>
    <row r="30" ht="21.75" customHeight="1">
      <c r="A30" s="52"/>
      <c r="B30" t="s" s="98">
        <v>48</v>
      </c>
      <c r="C30" t="s" s="99">
        <v>43</v>
      </c>
      <c r="D30" s="100">
        <v>1</v>
      </c>
      <c r="E30" s="101">
        <v>46272</v>
      </c>
      <c r="F30" s="101">
        <v>46278</v>
      </c>
      <c r="G30" s="58"/>
      <c r="H30" s="71" cm="1">
        <f t="array" ref="H30">IF(OR(ISBLANK(E30),ISBLANK(F30)),"",F30-E30+1)</f>
        <v>7</v>
      </c>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72"/>
      <c r="AS30" s="72"/>
      <c r="AT30" s="72"/>
      <c r="AU30" s="72"/>
      <c r="AV30" s="72"/>
      <c r="AW30" s="79"/>
      <c r="AX30" s="80"/>
      <c r="AY30" s="60"/>
      <c r="AZ30" s="60"/>
      <c r="BA30" s="60"/>
      <c r="BB30" s="60"/>
      <c r="BC30" s="60"/>
      <c r="BD30" s="60"/>
      <c r="BE30" s="60"/>
      <c r="BF30" s="60"/>
      <c r="BG30" s="60"/>
      <c r="BH30" s="60"/>
      <c r="BI30" s="60"/>
      <c r="BJ30" s="60"/>
      <c r="BK30" s="60"/>
      <c r="BL30" s="60"/>
    </row>
    <row r="31" ht="21.75" customHeight="1">
      <c r="A31" s="52"/>
      <c r="B31" t="s" s="98">
        <v>49</v>
      </c>
      <c r="C31" t="s" s="99">
        <v>43</v>
      </c>
      <c r="D31" s="100"/>
      <c r="E31" s="101">
        <v>46279</v>
      </c>
      <c r="F31" s="101">
        <v>46285</v>
      </c>
      <c r="G31" s="58"/>
      <c r="H31" s="71" cm="1">
        <f t="array" ref="H31">IF(OR(ISBLANK(E31),ISBLANK(F31)),"",F31-E31+1)</f>
        <v>7</v>
      </c>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1"/>
      <c r="AX31" s="62"/>
      <c r="AY31" s="60"/>
      <c r="AZ31" s="60"/>
      <c r="BA31" s="60"/>
      <c r="BB31" s="60"/>
      <c r="BC31" s="60"/>
      <c r="BD31" s="60"/>
      <c r="BE31" s="60"/>
      <c r="BF31" s="60"/>
      <c r="BG31" s="60"/>
      <c r="BH31" s="60"/>
      <c r="BI31" s="60"/>
      <c r="BJ31" s="60"/>
      <c r="BK31" s="60"/>
      <c r="BL31" s="60"/>
    </row>
    <row r="32" ht="21.75" customHeight="1">
      <c r="A32" s="52"/>
      <c r="B32" t="s" s="102">
        <v>50</v>
      </c>
      <c r="C32" t="s" s="103">
        <v>43</v>
      </c>
      <c r="D32" s="104"/>
      <c r="E32" s="105">
        <v>46286</v>
      </c>
      <c r="F32" s="105">
        <v>46292</v>
      </c>
      <c r="G32" s="58"/>
      <c r="H32" s="71" cm="1">
        <f t="array" ref="H32">IF(OR(ISBLANK(E32),ISBLANK(F32)),"",F32-E32+1)</f>
        <v>7</v>
      </c>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1"/>
      <c r="AX32" s="62"/>
      <c r="AY32" s="60"/>
      <c r="AZ32" s="60"/>
      <c r="BA32" s="60"/>
      <c r="BB32" s="60"/>
      <c r="BC32" s="60"/>
      <c r="BD32" s="60"/>
      <c r="BE32" s="60"/>
      <c r="BF32" s="60"/>
      <c r="BG32" s="60"/>
      <c r="BH32" s="60"/>
      <c r="BI32" s="60"/>
      <c r="BJ32" s="60"/>
      <c r="BK32" s="60"/>
      <c r="BL32" s="60"/>
    </row>
    <row r="33" ht="21.75" customHeight="1">
      <c r="A33" s="52"/>
      <c r="B33" t="s" s="106">
        <v>51</v>
      </c>
      <c r="C33" t="s" s="107">
        <v>43</v>
      </c>
      <c r="D33" s="108"/>
      <c r="E33" s="109">
        <v>46293</v>
      </c>
      <c r="F33" s="109">
        <v>46299</v>
      </c>
      <c r="G33" s="58"/>
      <c r="H33" s="71" cm="1">
        <f t="array" ref="H33">IF(OR(ISBLANK(E33),ISBLANK(F33)),"",F33-E33+1)</f>
        <v>7</v>
      </c>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1"/>
      <c r="AX33" s="62"/>
      <c r="AY33" s="60"/>
      <c r="AZ33" s="60"/>
      <c r="BA33" s="60"/>
      <c r="BB33" s="60"/>
      <c r="BC33" s="60"/>
      <c r="BD33" s="60"/>
      <c r="BE33" s="60"/>
      <c r="BF33" s="60"/>
      <c r="BG33" s="60"/>
      <c r="BH33" s="60"/>
      <c r="BI33" s="60"/>
      <c r="BJ33" s="60"/>
      <c r="BK33" s="60"/>
      <c r="BL33" s="60"/>
    </row>
    <row r="34" ht="21.75" customHeight="1">
      <c r="A34" s="52"/>
      <c r="B34" t="s" s="106">
        <v>52</v>
      </c>
      <c r="C34" t="s" s="107">
        <v>43</v>
      </c>
      <c r="D34" s="108"/>
      <c r="E34" s="109">
        <v>46300</v>
      </c>
      <c r="F34" s="109">
        <v>46306</v>
      </c>
      <c r="G34" s="58"/>
      <c r="H34" s="71" cm="1">
        <f t="array" ref="H34">IF(OR(ISBLANK(E34),ISBLANK(F34)),"",F34-E34+1)</f>
        <v>7</v>
      </c>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1"/>
      <c r="AX34" s="62"/>
      <c r="AY34" s="60"/>
      <c r="AZ34" s="60"/>
      <c r="BA34" s="60"/>
      <c r="BB34" s="60"/>
      <c r="BC34" s="60"/>
      <c r="BD34" s="60"/>
      <c r="BE34" s="60"/>
      <c r="BF34" s="60"/>
      <c r="BG34" s="60"/>
      <c r="BH34" s="60"/>
      <c r="BI34" s="60"/>
      <c r="BJ34" s="60"/>
      <c r="BK34" s="60"/>
      <c r="BL34" s="60"/>
    </row>
    <row r="35" ht="21.75" customHeight="1">
      <c r="A35" s="52"/>
      <c r="B35" t="s" s="106">
        <v>53</v>
      </c>
      <c r="C35" t="s" s="107">
        <v>43</v>
      </c>
      <c r="D35" s="108"/>
      <c r="E35" s="109">
        <v>46307</v>
      </c>
      <c r="F35" s="109">
        <v>46313</v>
      </c>
      <c r="G35" s="58"/>
      <c r="H35" s="71" cm="1">
        <f t="array" ref="H35">IF(OR(ISBLANK(E35),ISBLANK(F35)),"",F35-E35+1)</f>
        <v>7</v>
      </c>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1"/>
      <c r="AX35" s="62"/>
      <c r="AY35" s="60"/>
      <c r="AZ35" s="60"/>
      <c r="BA35" s="60"/>
      <c r="BB35" s="60"/>
      <c r="BC35" s="60"/>
      <c r="BD35" s="60"/>
      <c r="BE35" s="60"/>
      <c r="BF35" s="60"/>
      <c r="BG35" s="60"/>
      <c r="BH35" s="60"/>
      <c r="BI35" s="60"/>
      <c r="BJ35" s="60"/>
      <c r="BK35" s="60"/>
      <c r="BL35" s="60"/>
    </row>
    <row r="36" ht="21.75" customHeight="1">
      <c r="A36" s="52"/>
      <c r="B36" t="s" s="106">
        <v>37</v>
      </c>
      <c r="C36" t="s" s="107">
        <v>43</v>
      </c>
      <c r="D36" s="108"/>
      <c r="E36" s="109">
        <v>46314</v>
      </c>
      <c r="F36" s="109">
        <v>46320</v>
      </c>
      <c r="G36" s="58"/>
      <c r="H36" s="71" cm="1">
        <f t="array" ref="H36">IF(OR(ISBLANK(E36),ISBLANK(F36)),"",F36-E36+1)</f>
        <v>7</v>
      </c>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1"/>
      <c r="AX36" s="62"/>
      <c r="AY36" s="60"/>
      <c r="AZ36" s="60"/>
      <c r="BA36" s="60"/>
      <c r="BB36" s="60"/>
      <c r="BC36" s="60"/>
      <c r="BD36" s="60"/>
      <c r="BE36" s="60"/>
      <c r="BF36" s="60"/>
      <c r="BG36" s="60"/>
      <c r="BH36" s="60"/>
      <c r="BI36" s="60"/>
      <c r="BJ36" s="60"/>
      <c r="BK36" s="60"/>
      <c r="BL36" s="60"/>
    </row>
    <row r="37" ht="21.75" customHeight="1">
      <c r="A37" s="52"/>
      <c r="B37" t="s" s="106">
        <v>54</v>
      </c>
      <c r="C37" t="s" s="107">
        <v>43</v>
      </c>
      <c r="D37" s="108"/>
      <c r="E37" s="109">
        <v>46321</v>
      </c>
      <c r="F37" s="109">
        <v>46327</v>
      </c>
      <c r="G37" s="58"/>
      <c r="H37" s="71" cm="1">
        <f t="array" ref="H37">IF(OR(ISBLANK(E37),ISBLANK(F37)),"",F37-E37+1)</f>
        <v>7</v>
      </c>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1"/>
      <c r="AX37" s="62"/>
      <c r="AY37" s="60"/>
      <c r="AZ37" s="60"/>
      <c r="BA37" s="60"/>
      <c r="BB37" s="60"/>
      <c r="BC37" s="60"/>
      <c r="BD37" s="60"/>
      <c r="BE37" s="60"/>
      <c r="BF37" s="60"/>
      <c r="BG37" s="60"/>
      <c r="BH37" s="60"/>
      <c r="BI37" s="60"/>
      <c r="BJ37" s="60"/>
      <c r="BK37" s="60"/>
      <c r="BL37" s="60"/>
    </row>
    <row r="38" ht="21.75" customHeight="1">
      <c r="A38" s="52"/>
      <c r="B38" t="s" s="110">
        <v>39</v>
      </c>
      <c r="C38" t="s" s="111">
        <v>43</v>
      </c>
      <c r="D38" s="55"/>
      <c r="E38" s="112">
        <v>46328</v>
      </c>
      <c r="F38" s="113">
        <v>46334</v>
      </c>
      <c r="G38" s="58"/>
      <c r="H38" s="71" cm="1">
        <f t="array" ref="H38">IF(OR(ISBLANK(E38),ISBLANK(F38)),"",F38-E38+1)</f>
        <v>7</v>
      </c>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1"/>
      <c r="AX38" s="62"/>
      <c r="AY38" s="60"/>
      <c r="AZ38" s="60"/>
      <c r="BA38" s="60"/>
      <c r="BB38" s="60"/>
      <c r="BC38" s="60"/>
      <c r="BD38" s="60"/>
      <c r="BE38" s="60"/>
      <c r="BF38" s="60"/>
      <c r="BG38" s="60"/>
      <c r="BH38" s="60"/>
      <c r="BI38" s="60"/>
      <c r="BJ38" s="60"/>
      <c r="BK38" s="60"/>
      <c r="BL38" s="60"/>
    </row>
    <row r="39" ht="21.75" customHeight="1">
      <c r="A39" s="52"/>
      <c r="B39" t="s" s="110">
        <v>40</v>
      </c>
      <c r="C39" t="s" s="111">
        <v>43</v>
      </c>
      <c r="D39" s="55"/>
      <c r="E39" s="112">
        <v>46335</v>
      </c>
      <c r="F39" s="113">
        <v>46341</v>
      </c>
      <c r="G39" s="58"/>
      <c r="H39" s="71" cm="1">
        <f t="array" ref="H39">IF(OR(ISBLANK(E39),ISBLANK(F39)),"",F39-E39+1)</f>
        <v>7</v>
      </c>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1"/>
      <c r="AX39" s="62"/>
      <c r="AY39" s="60"/>
      <c r="AZ39" s="60"/>
      <c r="BA39" s="60"/>
      <c r="BB39" s="60"/>
      <c r="BC39" s="60"/>
      <c r="BD39" s="60"/>
      <c r="BE39" s="60"/>
      <c r="BF39" s="60"/>
      <c r="BG39" s="60"/>
      <c r="BH39" s="60"/>
      <c r="BI39" s="60"/>
      <c r="BJ39" s="60"/>
      <c r="BK39" s="60"/>
      <c r="BL39" s="60"/>
    </row>
    <row r="40" ht="21.75" customHeight="1">
      <c r="A40" s="52"/>
      <c r="B40" t="s" s="89">
        <v>55</v>
      </c>
      <c r="C40" s="93"/>
      <c r="D40" s="91"/>
      <c r="E40" s="92"/>
      <c r="F40" s="92"/>
      <c r="G40" s="58"/>
      <c r="H40" t="str" s="59" cm="1">
        <f t="array" ref="H40">IF(OR(ISBLANK(E40),ISBLANK(F40)),"",F40-E40+1)</f>
      </c>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1"/>
      <c r="AX40" s="62"/>
      <c r="AY40" s="60"/>
      <c r="AZ40" s="60"/>
      <c r="BA40" s="60"/>
      <c r="BB40" s="60"/>
      <c r="BC40" s="60"/>
      <c r="BD40" s="60"/>
      <c r="BE40" s="60"/>
      <c r="BF40" s="60"/>
      <c r="BG40" s="60"/>
      <c r="BH40" s="60"/>
      <c r="BI40" s="60"/>
      <c r="BJ40" s="60"/>
      <c r="BK40" s="60"/>
      <c r="BL40" s="60"/>
    </row>
    <row r="41" ht="21.75" customHeight="1">
      <c r="A41" s="52"/>
      <c r="B41" t="s" s="89">
        <v>56</v>
      </c>
      <c r="C41" t="s" s="90">
        <v>57</v>
      </c>
      <c r="D41" s="91">
        <v>1</v>
      </c>
      <c r="E41" s="92">
        <v>46237</v>
      </c>
      <c r="F41" s="92">
        <v>46243</v>
      </c>
      <c r="G41" s="58"/>
      <c r="H41" s="71" cm="1">
        <f t="array" ref="H41">IF(OR(ISBLANK(E41),ISBLANK(F41)),"",F41-E41+1)</f>
        <v>7</v>
      </c>
      <c r="I41" s="72"/>
      <c r="J41" s="72"/>
      <c r="K41" s="72"/>
      <c r="L41" s="72"/>
      <c r="M41" s="72"/>
      <c r="N41" s="72"/>
      <c r="O41" s="72"/>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1"/>
      <c r="AX41" s="62"/>
      <c r="AY41" s="114"/>
      <c r="AZ41" s="114"/>
      <c r="BA41" s="114"/>
      <c r="BB41" s="114"/>
      <c r="BC41" s="114"/>
      <c r="BD41" s="114"/>
      <c r="BE41" s="114"/>
      <c r="BF41" s="114"/>
      <c r="BG41" s="114"/>
      <c r="BH41" s="114"/>
      <c r="BI41" s="114"/>
      <c r="BJ41" s="114"/>
      <c r="BK41" s="114"/>
      <c r="BL41" s="114"/>
    </row>
    <row r="42" ht="14.55" customHeight="1">
      <c r="A42" s="31"/>
      <c r="B42" t="s" s="94">
        <v>58</v>
      </c>
      <c r="C42" t="s" s="95">
        <v>57</v>
      </c>
      <c r="D42" s="96">
        <v>1</v>
      </c>
      <c r="E42" s="115">
        <v>46244</v>
      </c>
      <c r="F42" s="97">
        <v>46250</v>
      </c>
      <c r="G42" s="116"/>
      <c r="H42" s="117" cm="1">
        <f t="array" ref="H42">IF(OR(ISBLANK(E42),ISBLANK(F42)),"",F42-E42+1)</f>
        <v>7</v>
      </c>
      <c r="I42" s="118"/>
      <c r="J42" s="118"/>
      <c r="K42" s="118"/>
      <c r="L42" s="118"/>
      <c r="M42" s="118"/>
      <c r="N42" s="118"/>
      <c r="O42" s="118"/>
      <c r="P42" s="72"/>
      <c r="Q42" s="72"/>
      <c r="R42" s="72"/>
      <c r="S42" s="72"/>
      <c r="T42" s="72"/>
      <c r="U42" s="72"/>
      <c r="V42" s="72"/>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9"/>
      <c r="AX42" s="120"/>
      <c r="AY42" s="121"/>
      <c r="AZ42" s="122"/>
      <c r="BA42" s="122"/>
      <c r="BB42" s="122"/>
      <c r="BC42" s="122"/>
      <c r="BD42" s="122"/>
      <c r="BE42" s="122"/>
      <c r="BF42" s="122"/>
      <c r="BG42" s="122"/>
      <c r="BH42" s="122"/>
      <c r="BI42" s="122"/>
      <c r="BJ42" s="122"/>
      <c r="BK42" s="122"/>
      <c r="BL42" s="123"/>
    </row>
    <row r="43" ht="14.55" customHeight="1">
      <c r="A43" s="12"/>
      <c r="B43" t="s" s="124">
        <v>59</v>
      </c>
      <c r="C43" t="s" s="99">
        <v>57</v>
      </c>
      <c r="D43" s="100">
        <v>1</v>
      </c>
      <c r="E43" s="125">
        <v>46251</v>
      </c>
      <c r="F43" s="101">
        <v>46257</v>
      </c>
      <c r="G43" s="116"/>
      <c r="H43" s="117" cm="1">
        <f t="array" ref="H43">IF(OR(ISBLANK(E43),ISBLANK(F43)),"",F43-E43+1)</f>
        <v>7</v>
      </c>
      <c r="I43" s="118"/>
      <c r="J43" s="118"/>
      <c r="K43" s="118"/>
      <c r="L43" s="118"/>
      <c r="M43" s="118"/>
      <c r="N43" s="118"/>
      <c r="O43" s="118"/>
      <c r="P43" s="118"/>
      <c r="Q43" s="118"/>
      <c r="R43" s="118"/>
      <c r="S43" s="118"/>
      <c r="T43" s="118"/>
      <c r="U43" s="118"/>
      <c r="V43" s="118"/>
      <c r="W43" s="72"/>
      <c r="X43" s="72"/>
      <c r="Y43" s="72"/>
      <c r="Z43" s="72"/>
      <c r="AA43" s="72"/>
      <c r="AB43" s="72"/>
      <c r="AC43" s="72"/>
      <c r="AD43" s="118"/>
      <c r="AE43" s="118"/>
      <c r="AF43" s="118"/>
      <c r="AG43" s="118"/>
      <c r="AH43" s="118"/>
      <c r="AI43" s="118"/>
      <c r="AJ43" s="118"/>
      <c r="AK43" s="118"/>
      <c r="AL43" s="118"/>
      <c r="AM43" s="118"/>
      <c r="AN43" s="118"/>
      <c r="AO43" s="118"/>
      <c r="AP43" s="118"/>
      <c r="AQ43" s="118"/>
      <c r="AR43" s="118"/>
      <c r="AS43" s="118"/>
      <c r="AT43" s="118"/>
      <c r="AU43" s="118"/>
      <c r="AV43" s="118"/>
      <c r="AW43" s="119"/>
      <c r="AX43" s="120"/>
      <c r="AY43" s="126"/>
      <c r="AZ43" s="14"/>
      <c r="BA43" s="14"/>
      <c r="BB43" s="14"/>
      <c r="BC43" s="14"/>
      <c r="BD43" s="14"/>
      <c r="BE43" s="14"/>
      <c r="BF43" s="14"/>
      <c r="BG43" s="14"/>
      <c r="BH43" s="14"/>
      <c r="BI43" s="14"/>
      <c r="BJ43" s="14"/>
      <c r="BK43" s="14"/>
      <c r="BL43" s="19"/>
    </row>
    <row r="44" ht="14.55" customHeight="1">
      <c r="A44" s="12"/>
      <c r="B44" t="s" s="124">
        <v>60</v>
      </c>
      <c r="C44" t="s" s="99">
        <v>57</v>
      </c>
      <c r="D44" s="100">
        <v>1</v>
      </c>
      <c r="E44" s="125">
        <v>46258</v>
      </c>
      <c r="F44" s="101">
        <v>46264</v>
      </c>
      <c r="G44" s="116"/>
      <c r="H44" s="117" cm="1">
        <f t="array" ref="H44">IF(OR(ISBLANK(E44),ISBLANK(F44)),"",F44-E44+1)</f>
        <v>7</v>
      </c>
      <c r="I44" s="118"/>
      <c r="J44" s="118"/>
      <c r="K44" s="118"/>
      <c r="L44" s="118"/>
      <c r="M44" s="118"/>
      <c r="N44" s="118"/>
      <c r="O44" s="118"/>
      <c r="P44" s="118"/>
      <c r="Q44" s="118"/>
      <c r="R44" s="118"/>
      <c r="S44" s="118"/>
      <c r="T44" s="118"/>
      <c r="U44" s="118"/>
      <c r="V44" s="118"/>
      <c r="W44" s="118"/>
      <c r="X44" s="118"/>
      <c r="Y44" s="118"/>
      <c r="Z44" s="118"/>
      <c r="AA44" s="118"/>
      <c r="AB44" s="118"/>
      <c r="AC44" s="118"/>
      <c r="AD44" s="72"/>
      <c r="AE44" s="72"/>
      <c r="AF44" s="72"/>
      <c r="AG44" s="72"/>
      <c r="AH44" s="72"/>
      <c r="AI44" s="72"/>
      <c r="AJ44" s="72"/>
      <c r="AK44" s="118"/>
      <c r="AL44" s="118"/>
      <c r="AM44" s="118"/>
      <c r="AN44" s="118"/>
      <c r="AO44" s="118"/>
      <c r="AP44" s="118"/>
      <c r="AQ44" s="118"/>
      <c r="AR44" s="118"/>
      <c r="AS44" s="118"/>
      <c r="AT44" s="118"/>
      <c r="AU44" s="118"/>
      <c r="AV44" s="118"/>
      <c r="AW44" s="119"/>
      <c r="AX44" s="120"/>
      <c r="AY44" s="126"/>
      <c r="AZ44" s="14"/>
      <c r="BA44" s="14"/>
      <c r="BB44" s="14"/>
      <c r="BC44" s="14"/>
      <c r="BD44" s="14"/>
      <c r="BE44" s="14"/>
      <c r="BF44" s="14"/>
      <c r="BG44" s="14"/>
      <c r="BH44" s="14"/>
      <c r="BI44" s="14"/>
      <c r="BJ44" s="14"/>
      <c r="BK44" s="14"/>
      <c r="BL44" s="19"/>
    </row>
    <row r="45" ht="14.55" customHeight="1">
      <c r="A45" s="12"/>
      <c r="B45" t="s" s="98">
        <v>61</v>
      </c>
      <c r="C45" t="s" s="99">
        <v>57</v>
      </c>
      <c r="D45" s="100">
        <v>1</v>
      </c>
      <c r="E45" s="125">
        <v>46265</v>
      </c>
      <c r="F45" s="101">
        <v>46271</v>
      </c>
      <c r="G45" s="116"/>
      <c r="H45" s="117" cm="1">
        <f t="array" ref="H45">IF(OR(ISBLANK(E45),ISBLANK(F45)),"",F45-E45+1)</f>
        <v>7</v>
      </c>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72"/>
      <c r="AL45" s="72"/>
      <c r="AM45" s="72"/>
      <c r="AN45" s="72"/>
      <c r="AO45" s="72"/>
      <c r="AP45" s="72"/>
      <c r="AQ45" s="72"/>
      <c r="AR45" s="118"/>
      <c r="AS45" s="118"/>
      <c r="AT45" s="118"/>
      <c r="AU45" s="118"/>
      <c r="AV45" s="118"/>
      <c r="AW45" s="119"/>
      <c r="AX45" s="120"/>
      <c r="AY45" s="126"/>
      <c r="AZ45" s="14"/>
      <c r="BA45" s="14"/>
      <c r="BB45" s="14"/>
      <c r="BC45" s="14"/>
      <c r="BD45" s="14"/>
      <c r="BE45" s="14"/>
      <c r="BF45" s="14"/>
      <c r="BG45" s="14"/>
      <c r="BH45" s="14"/>
      <c r="BI45" s="14"/>
      <c r="BJ45" s="14"/>
      <c r="BK45" s="14"/>
      <c r="BL45" s="19"/>
    </row>
    <row r="46" ht="14.55" customHeight="1">
      <c r="A46" s="12"/>
      <c r="B46" t="s" s="98">
        <v>62</v>
      </c>
      <c r="C46" t="s" s="99">
        <v>57</v>
      </c>
      <c r="D46" s="100">
        <v>1</v>
      </c>
      <c r="E46" s="125">
        <v>46272</v>
      </c>
      <c r="F46" s="101">
        <v>46278</v>
      </c>
      <c r="G46" s="116"/>
      <c r="H46" s="117" cm="1">
        <f t="array" ref="H46">IF(OR(ISBLANK(E46),ISBLANK(F46)),"",F46-E46+1)</f>
        <v>7</v>
      </c>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72"/>
      <c r="AS46" s="72"/>
      <c r="AT46" s="72"/>
      <c r="AU46" s="72"/>
      <c r="AV46" s="72"/>
      <c r="AW46" s="79"/>
      <c r="AX46" s="127"/>
      <c r="AY46" s="126"/>
      <c r="AZ46" s="14"/>
      <c r="BA46" s="14"/>
      <c r="BB46" s="14"/>
      <c r="BC46" s="14"/>
      <c r="BD46" s="14"/>
      <c r="BE46" s="14"/>
      <c r="BF46" s="14"/>
      <c r="BG46" s="14"/>
      <c r="BH46" s="14"/>
      <c r="BI46" s="14"/>
      <c r="BJ46" s="14"/>
      <c r="BK46" s="14"/>
      <c r="BL46" s="19"/>
    </row>
    <row r="47" ht="14.55" customHeight="1">
      <c r="A47" s="12"/>
      <c r="B47" t="s" s="98">
        <v>63</v>
      </c>
      <c r="C47" t="s" s="99">
        <v>57</v>
      </c>
      <c r="D47" s="100"/>
      <c r="E47" s="125">
        <v>46279</v>
      </c>
      <c r="F47" s="101">
        <v>46285</v>
      </c>
      <c r="G47" s="116"/>
      <c r="H47" s="117" cm="1">
        <f t="array" ref="H47">IF(OR(ISBLANK(E47),ISBLANK(F47)),"",F47-E47+1)</f>
        <v>7</v>
      </c>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9"/>
      <c r="AX47" s="120"/>
      <c r="AY47" s="126"/>
      <c r="AZ47" s="14"/>
      <c r="BA47" s="14"/>
      <c r="BB47" s="14"/>
      <c r="BC47" s="14"/>
      <c r="BD47" s="14"/>
      <c r="BE47" s="14"/>
      <c r="BF47" s="14"/>
      <c r="BG47" s="14"/>
      <c r="BH47" s="14"/>
      <c r="BI47" s="14"/>
      <c r="BJ47" s="14"/>
      <c r="BK47" s="14"/>
      <c r="BL47" s="19"/>
    </row>
    <row r="48" ht="14.55" customHeight="1">
      <c r="A48" s="12"/>
      <c r="B48" t="s" s="102">
        <v>64</v>
      </c>
      <c r="C48" t="s" s="103">
        <v>57</v>
      </c>
      <c r="D48" s="104"/>
      <c r="E48" s="128">
        <v>46286</v>
      </c>
      <c r="F48" s="105">
        <v>46292</v>
      </c>
      <c r="G48" s="116"/>
      <c r="H48" s="117" cm="1">
        <f t="array" ref="H48">IF(OR(ISBLANK(E48),ISBLANK(F48)),"",F48-E48+1)</f>
        <v>7</v>
      </c>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9"/>
      <c r="AX48" s="120"/>
      <c r="AY48" s="126"/>
      <c r="AZ48" s="14"/>
      <c r="BA48" s="14"/>
      <c r="BB48" s="14"/>
      <c r="BC48" s="14"/>
      <c r="BD48" s="14"/>
      <c r="BE48" s="14"/>
      <c r="BF48" s="14"/>
      <c r="BG48" s="14"/>
      <c r="BH48" s="14"/>
      <c r="BI48" s="14"/>
      <c r="BJ48" s="14"/>
      <c r="BK48" s="14"/>
      <c r="BL48" s="19"/>
    </row>
    <row r="49" ht="14.55" customHeight="1">
      <c r="A49" s="12"/>
      <c r="B49" t="s" s="106">
        <v>65</v>
      </c>
      <c r="C49" t="s" s="107">
        <v>57</v>
      </c>
      <c r="D49" s="108"/>
      <c r="E49" s="129">
        <v>46293</v>
      </c>
      <c r="F49" s="109">
        <v>46299</v>
      </c>
      <c r="G49" s="116"/>
      <c r="H49" s="117" cm="1">
        <f t="array" ref="H49">IF(OR(ISBLANK(E49),ISBLANK(F49)),"",F49-E49+1)</f>
        <v>7</v>
      </c>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9"/>
      <c r="AX49" s="120"/>
      <c r="AY49" s="126"/>
      <c r="AZ49" s="14"/>
      <c r="BA49" s="14"/>
      <c r="BB49" s="14"/>
      <c r="BC49" s="14"/>
      <c r="BD49" s="14"/>
      <c r="BE49" s="14"/>
      <c r="BF49" s="14"/>
      <c r="BG49" s="14"/>
      <c r="BH49" s="14"/>
      <c r="BI49" s="14"/>
      <c r="BJ49" s="14"/>
      <c r="BK49" s="14"/>
      <c r="BL49" s="19"/>
    </row>
    <row r="50" ht="14.55" customHeight="1">
      <c r="A50" s="12"/>
      <c r="B50" t="s" s="106">
        <v>66</v>
      </c>
      <c r="C50" t="s" s="107">
        <v>57</v>
      </c>
      <c r="D50" s="108"/>
      <c r="E50" s="129">
        <v>46300</v>
      </c>
      <c r="F50" s="109">
        <v>46306</v>
      </c>
      <c r="G50" s="116"/>
      <c r="H50" s="117" cm="1">
        <f t="array" ref="H50">IF(OR(ISBLANK(E50),ISBLANK(F50)),"",F50-E50+1)</f>
        <v>7</v>
      </c>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9"/>
      <c r="AX50" s="120"/>
      <c r="AY50" s="126"/>
      <c r="AZ50" s="14"/>
      <c r="BA50" s="14"/>
      <c r="BB50" s="14"/>
      <c r="BC50" s="14"/>
      <c r="BD50" s="14"/>
      <c r="BE50" s="14"/>
      <c r="BF50" s="14"/>
      <c r="BG50" s="14"/>
      <c r="BH50" s="14"/>
      <c r="BI50" s="14"/>
      <c r="BJ50" s="14"/>
      <c r="BK50" s="14"/>
      <c r="BL50" s="19"/>
    </row>
    <row r="51" ht="14.55" customHeight="1">
      <c r="A51" s="12"/>
      <c r="B51" t="s" s="106">
        <v>67</v>
      </c>
      <c r="C51" t="s" s="107">
        <v>57</v>
      </c>
      <c r="D51" s="108"/>
      <c r="E51" s="129">
        <v>46307</v>
      </c>
      <c r="F51" s="109">
        <v>46313</v>
      </c>
      <c r="G51" s="116"/>
      <c r="H51" s="117" cm="1">
        <f t="array" ref="H51">IF(OR(ISBLANK(E51),ISBLANK(F51)),"",F51-E51+1)</f>
        <v>7</v>
      </c>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9"/>
      <c r="AX51" s="120"/>
      <c r="AY51" s="126"/>
      <c r="AZ51" s="14"/>
      <c r="BA51" s="14"/>
      <c r="BB51" s="14"/>
      <c r="BC51" s="14"/>
      <c r="BD51" s="14"/>
      <c r="BE51" s="14"/>
      <c r="BF51" s="14"/>
      <c r="BG51" s="14"/>
      <c r="BH51" s="14"/>
      <c r="BI51" s="14"/>
      <c r="BJ51" s="14"/>
      <c r="BK51" s="14"/>
      <c r="BL51" s="19"/>
    </row>
    <row r="52" ht="14.55" customHeight="1">
      <c r="A52" s="12"/>
      <c r="B52" t="s" s="106">
        <v>37</v>
      </c>
      <c r="C52" t="s" s="107">
        <v>57</v>
      </c>
      <c r="D52" s="108"/>
      <c r="E52" s="129">
        <v>46314</v>
      </c>
      <c r="F52" s="109">
        <v>46320</v>
      </c>
      <c r="G52" s="116"/>
      <c r="H52" s="117" cm="1">
        <f t="array" ref="H52">IF(OR(ISBLANK(E52),ISBLANK(F52)),"",F52-E52+1)</f>
        <v>7</v>
      </c>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9"/>
      <c r="AX52" s="120"/>
      <c r="AY52" s="126"/>
      <c r="AZ52" s="14"/>
      <c r="BA52" s="14"/>
      <c r="BB52" s="14"/>
      <c r="BC52" s="14"/>
      <c r="BD52" s="14"/>
      <c r="BE52" s="14"/>
      <c r="BF52" s="14"/>
      <c r="BG52" s="14"/>
      <c r="BH52" s="14"/>
      <c r="BI52" s="14"/>
      <c r="BJ52" s="14"/>
      <c r="BK52" s="14"/>
      <c r="BL52" s="19"/>
    </row>
    <row r="53" ht="14.55" customHeight="1">
      <c r="A53" s="12"/>
      <c r="B53" t="s" s="106">
        <v>68</v>
      </c>
      <c r="C53" t="s" s="107">
        <v>57</v>
      </c>
      <c r="D53" s="108"/>
      <c r="E53" s="129">
        <v>46321</v>
      </c>
      <c r="F53" s="109">
        <v>46327</v>
      </c>
      <c r="G53" s="116"/>
      <c r="H53" s="117" cm="1">
        <f t="array" ref="H53">IF(OR(ISBLANK(E53),ISBLANK(F53)),"",F53-E53+1)</f>
        <v>7</v>
      </c>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9"/>
      <c r="AX53" s="120"/>
      <c r="AY53" s="126"/>
      <c r="AZ53" s="14"/>
      <c r="BA53" s="14"/>
      <c r="BB53" s="14"/>
      <c r="BC53" s="14"/>
      <c r="BD53" s="14"/>
      <c r="BE53" s="14"/>
      <c r="BF53" s="14"/>
      <c r="BG53" s="14"/>
      <c r="BH53" s="14"/>
      <c r="BI53" s="14"/>
      <c r="BJ53" s="14"/>
      <c r="BK53" s="14"/>
      <c r="BL53" s="19"/>
    </row>
    <row r="54" ht="14.55" customHeight="1">
      <c r="A54" s="12"/>
      <c r="B54" t="s" s="130">
        <v>39</v>
      </c>
      <c r="C54" t="s" s="131">
        <v>57</v>
      </c>
      <c r="D54" s="132"/>
      <c r="E54" s="133">
        <v>46328</v>
      </c>
      <c r="F54" s="134">
        <v>46334</v>
      </c>
      <c r="G54" s="116"/>
      <c r="H54" s="117" cm="1">
        <f t="array" ref="H54">IF(OR(ISBLANK(E54),ISBLANK(F54)),"",F54-E54+1)</f>
        <v>7</v>
      </c>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9"/>
      <c r="AX54" s="120"/>
      <c r="AY54" s="126"/>
      <c r="AZ54" s="14"/>
      <c r="BA54" s="14"/>
      <c r="BB54" s="14"/>
      <c r="BC54" s="14"/>
      <c r="BD54" s="14"/>
      <c r="BE54" s="14"/>
      <c r="BF54" s="14"/>
      <c r="BG54" s="14"/>
      <c r="BH54" s="14"/>
      <c r="BI54" s="14"/>
      <c r="BJ54" s="14"/>
      <c r="BK54" s="14"/>
      <c r="BL54" s="19"/>
    </row>
    <row r="55" ht="14.55" customHeight="1">
      <c r="A55" s="12"/>
      <c r="B55" t="s" s="130">
        <v>40</v>
      </c>
      <c r="C55" t="s" s="131">
        <v>57</v>
      </c>
      <c r="D55" s="132"/>
      <c r="E55" s="133">
        <v>46335</v>
      </c>
      <c r="F55" s="134">
        <v>46341</v>
      </c>
      <c r="G55" s="116"/>
      <c r="H55" s="117" cm="1">
        <f t="array" ref="H55">IF(OR(ISBLANK(E55),ISBLANK(F55)),"",F55-E55+1)</f>
        <v>7</v>
      </c>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9"/>
      <c r="AX55" s="135"/>
      <c r="AY55" s="126"/>
      <c r="AZ55" s="14"/>
      <c r="BA55" s="14"/>
      <c r="BB55" s="14"/>
      <c r="BC55" s="14"/>
      <c r="BD55" s="14"/>
      <c r="BE55" s="14"/>
      <c r="BF55" s="14"/>
      <c r="BG55" s="14"/>
      <c r="BH55" s="14"/>
      <c r="BI55" s="14"/>
      <c r="BJ55" s="14"/>
      <c r="BK55" s="14"/>
      <c r="BL55" s="19"/>
    </row>
    <row r="56" ht="14.55" customHeight="1">
      <c r="A56" s="12"/>
      <c r="B56" s="136"/>
      <c r="C56" s="136"/>
      <c r="D56" s="136"/>
      <c r="E56" s="137"/>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4"/>
      <c r="AY56" s="14"/>
      <c r="AZ56" s="14"/>
      <c r="BA56" s="14"/>
      <c r="BB56" s="14"/>
      <c r="BC56" s="14"/>
      <c r="BD56" s="14"/>
      <c r="BE56" s="14"/>
      <c r="BF56" s="14"/>
      <c r="BG56" s="14"/>
      <c r="BH56" s="14"/>
      <c r="BI56" s="14"/>
      <c r="BJ56" s="14"/>
      <c r="BK56" s="14"/>
      <c r="BL56" s="19"/>
    </row>
    <row r="57" ht="14.55" customHeight="1">
      <c r="A57" s="12"/>
      <c r="B57" t="s" s="63">
        <v>69</v>
      </c>
      <c r="C57" t="s" s="138">
        <v>70</v>
      </c>
      <c r="D57" t="s" s="139">
        <v>71</v>
      </c>
      <c r="E57" t="s" s="140">
        <v>72</v>
      </c>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9"/>
    </row>
    <row r="58" ht="14.05" customHeight="1">
      <c r="A58" s="12"/>
      <c r="B58" s="122"/>
      <c r="C58" s="122"/>
      <c r="D58" s="122"/>
      <c r="E58" s="141"/>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9"/>
    </row>
    <row r="59" ht="13.55" customHeight="1">
      <c r="A59" s="12"/>
      <c r="B59" t="s" s="142">
        <v>73</v>
      </c>
      <c r="C59" s="14"/>
      <c r="D59" s="14"/>
      <c r="E59" s="143"/>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9"/>
    </row>
    <row r="60" ht="13.55" customHeight="1">
      <c r="A60" s="144"/>
      <c r="B60" t="s" s="145">
        <v>74</v>
      </c>
      <c r="C60" s="146"/>
      <c r="D60" s="146"/>
      <c r="E60" s="147"/>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8"/>
    </row>
  </sheetData>
  <mergeCells count="11">
    <mergeCell ref="AK4:AQ4"/>
    <mergeCell ref="W4:AC4"/>
    <mergeCell ref="AD4:AJ4"/>
    <mergeCell ref="AR4:AX4"/>
    <mergeCell ref="E2:F2"/>
    <mergeCell ref="J1:AA1"/>
    <mergeCell ref="P4:V4"/>
    <mergeCell ref="AY4:BE4"/>
    <mergeCell ref="I4:O4"/>
    <mergeCell ref="BF4:BL4"/>
    <mergeCell ref="E3:F3"/>
  </mergeCells>
  <hyperlinks>
    <hyperlink ref="J1" r:id="rId1" location="" tooltip="" display="► Watch How to Make a Gantt Chart in Excel"/>
    <hyperlink ref="B43" r:id="rId2" location="" tooltip="" display="Week 3: Draft initial factory knowledge base (.txt notes)"/>
    <hyperlink ref="B44" r:id="rId3" location="" tooltip="" display="Week 4: Implement embedding pipeline for knowledge base"/>
    <hyperlink ref="B59" r:id="rId4" location="" tooltip="" display="SIMPLE GANTT CHART by Vertex42.com"/>
  </hyperlinks>
  <pageMargins left="0.35" right="0.35" top="0.35" bottom="0.5" header="0.3" footer="0.3"/>
  <pageSetup firstPageNumber="1" fitToHeight="1" fitToWidth="1" scale="100" useFirstPageNumber="0" orientation="landscape" pageOrder="downThenOver"/>
  <headerFooter>
    <oddFooter>&amp;C&amp;"Helvetica Neue,Regular"&amp;12&amp;K000000&amp;P</oddFooter>
  </headerFooter>
  <drawing r:id="rId5"/>
  <legacyDrawing r:id="rId6"/>
</worksheet>
</file>

<file path=xl/worksheets/sheet2.xml><?xml version="1.0" encoding="utf-8"?>
<worksheet xmlns:r="http://schemas.openxmlformats.org/officeDocument/2006/relationships" xmlns="http://schemas.openxmlformats.org/spreadsheetml/2006/main">
  <dimension ref="A1:E22"/>
  <sheetViews>
    <sheetView workbookViewId="0" showGridLines="0" defaultGridColor="1"/>
  </sheetViews>
  <sheetFormatPr defaultColWidth="8.83333" defaultRowHeight="12.75" customHeight="1" outlineLevelRow="0" outlineLevelCol="0"/>
  <cols>
    <col min="1" max="1" width="2.85156" style="149" customWidth="1"/>
    <col min="2" max="2" width="87.1719" style="149" customWidth="1"/>
    <col min="3" max="5" width="9.17188" style="149" customWidth="1"/>
    <col min="6" max="16384" width="8.85156" style="149" customWidth="1"/>
  </cols>
  <sheetData>
    <row r="1" ht="46.5" customHeight="1">
      <c r="A1" s="150"/>
      <c r="B1" s="151"/>
      <c r="C1" s="152"/>
      <c r="D1" s="152"/>
      <c r="E1" s="153"/>
    </row>
    <row r="2" ht="15.75" customHeight="1">
      <c r="A2" s="154"/>
      <c r="B2" t="s" s="155">
        <v>75</v>
      </c>
      <c r="C2" s="156"/>
      <c r="D2" s="143"/>
      <c r="E2" s="157"/>
    </row>
    <row r="3" ht="13.5" customHeight="1">
      <c r="A3" s="154"/>
      <c r="B3" t="s" s="158">
        <v>76</v>
      </c>
      <c r="C3" s="159"/>
      <c r="D3" s="143"/>
      <c r="E3" s="157"/>
    </row>
    <row r="4" ht="12.75" customHeight="1">
      <c r="A4" s="154"/>
      <c r="B4" t="s" s="160">
        <v>74</v>
      </c>
      <c r="C4" s="143"/>
      <c r="D4" s="143"/>
      <c r="E4" s="157"/>
    </row>
    <row r="5" ht="12.75" customHeight="1">
      <c r="A5" s="154"/>
      <c r="B5" s="161"/>
      <c r="C5" s="143"/>
      <c r="D5" s="143"/>
      <c r="E5" s="157"/>
    </row>
    <row r="6" ht="26.25" customHeight="1">
      <c r="A6" s="154"/>
      <c r="B6" t="s" s="162">
        <v>77</v>
      </c>
      <c r="C6" s="143"/>
      <c r="D6" s="143"/>
      <c r="E6" s="157"/>
    </row>
    <row r="7" ht="60" customHeight="1">
      <c r="A7" s="154"/>
      <c r="B7" t="s" s="163">
        <v>78</v>
      </c>
      <c r="C7" s="143"/>
      <c r="D7" s="143"/>
      <c r="E7" s="157"/>
    </row>
    <row r="8" ht="15" customHeight="1">
      <c r="A8" s="154"/>
      <c r="B8" s="164"/>
      <c r="C8" s="143"/>
      <c r="D8" s="143"/>
      <c r="E8" s="157"/>
    </row>
    <row r="9" ht="26.25" customHeight="1">
      <c r="A9" s="154"/>
      <c r="B9" t="s" s="162">
        <v>79</v>
      </c>
      <c r="C9" s="143"/>
      <c r="D9" s="143"/>
      <c r="E9" s="157"/>
    </row>
    <row r="10" ht="60" customHeight="1">
      <c r="A10" s="154"/>
      <c r="B10" t="s" s="163">
        <v>80</v>
      </c>
      <c r="C10" s="143"/>
      <c r="D10" s="143"/>
      <c r="E10" s="157"/>
    </row>
    <row r="11" ht="14.25" customHeight="1">
      <c r="A11" s="154"/>
      <c r="B11" t="s" s="165">
        <v>81</v>
      </c>
      <c r="C11" s="143"/>
      <c r="D11" s="143"/>
      <c r="E11" s="157"/>
    </row>
    <row r="12" ht="15" customHeight="1">
      <c r="A12" s="154"/>
      <c r="B12" s="164"/>
      <c r="C12" s="143"/>
      <c r="D12" s="143"/>
      <c r="E12" s="157"/>
    </row>
    <row r="13" ht="14.25" customHeight="1">
      <c r="A13" s="154"/>
      <c r="B13" t="str" s="166" cm="1">
        <f t="array" ref="B13">HYPERLINK("https://vertex42.link/HowToMakeAGanttChart","► Watch How This Gantt Chart Was Created")</f>
        <v>► Watch How This Gantt Chart Was Created</v>
      </c>
      <c r="C13" s="143"/>
      <c r="D13" s="143"/>
      <c r="E13" s="157"/>
    </row>
    <row r="14" ht="15" customHeight="1">
      <c r="A14" s="154"/>
      <c r="B14" s="164"/>
      <c r="C14" s="143"/>
      <c r="D14" s="143"/>
      <c r="E14" s="157"/>
    </row>
    <row r="15" ht="26.25" customHeight="1">
      <c r="A15" s="154"/>
      <c r="B15" t="s" s="162">
        <v>83</v>
      </c>
      <c r="C15" s="143"/>
      <c r="D15" s="143"/>
      <c r="E15" s="157"/>
    </row>
    <row r="16" ht="30" customHeight="1">
      <c r="A16" s="154"/>
      <c r="B16" t="s" s="163">
        <v>84</v>
      </c>
      <c r="C16" s="143"/>
      <c r="D16" s="143"/>
      <c r="E16" s="157"/>
    </row>
    <row r="17" ht="14.25" customHeight="1">
      <c r="A17" s="154"/>
      <c r="B17" t="s" s="165">
        <v>85</v>
      </c>
      <c r="C17" s="143"/>
      <c r="D17" s="143"/>
      <c r="E17" s="157"/>
    </row>
    <row r="18" ht="15" customHeight="1">
      <c r="A18" s="154"/>
      <c r="B18" s="164"/>
      <c r="C18" s="143"/>
      <c r="D18" s="143"/>
      <c r="E18" s="157"/>
    </row>
    <row r="19" ht="26.25" customHeight="1">
      <c r="A19" s="154"/>
      <c r="B19" t="s" s="162">
        <v>86</v>
      </c>
      <c r="C19" s="143"/>
      <c r="D19" s="143"/>
      <c r="E19" s="157"/>
    </row>
    <row r="20" ht="60" customHeight="1">
      <c r="A20" s="154"/>
      <c r="B20" t="s" s="163">
        <v>87</v>
      </c>
      <c r="C20" s="143"/>
      <c r="D20" s="143"/>
      <c r="E20" s="157"/>
    </row>
    <row r="21" ht="15" customHeight="1">
      <c r="A21" s="154"/>
      <c r="B21" s="164"/>
      <c r="C21" s="143"/>
      <c r="D21" s="143"/>
      <c r="E21" s="157"/>
    </row>
    <row r="22" ht="75" customHeight="1">
      <c r="A22" s="167"/>
      <c r="B22" t="s" s="168">
        <v>88</v>
      </c>
      <c r="C22" s="147"/>
      <c r="D22" s="147"/>
      <c r="E22" s="169"/>
    </row>
  </sheetData>
  <hyperlinks>
    <hyperlink ref="B2" r:id="rId1" location="" tooltip="" display="MQIS Gantt Chart populated using the Contract Playbook template design."/>
    <hyperlink ref="B3" r:id="rId2" location="" tooltip="" display="Visible project timeline: 03-Aug-2026 through 13-Sep-2026."/>
    <hyperlink ref="B11" r:id="rId3" location="" tooltip="" display="How to Use the Simple Gantt Chart"/>
    <hyperlink ref="B13" r:id="rId4" location="" tooltip="" display="► Watch How This Gantt Chart Was Created"/>
    <hyperlink ref="B17" r:id="rId5" location="" tooltip="" display="Project Management Templates"/>
  </hyperlinks>
  <pageMargins left="0.5" right="0.5" top="0.5" bottom="0.5" header="0.3" footer="0.3"/>
  <pageSetup firstPageNumber="1" fitToHeight="1" fitToWidth="1" scale="100" useFirstPageNumber="0" orientation="portrait" pageOrder="downThenOver"/>
  <headerFooter>
    <oddFooter>&amp;C&amp;"Helvetica Neue,Regular"&amp;12&amp;K000000&amp;P</oddFooter>
  </headerFooter>
  <drawing r:id="rId6"/>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